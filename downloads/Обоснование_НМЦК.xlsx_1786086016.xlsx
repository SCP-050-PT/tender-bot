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2026\Закупки\Котировки\Спецоценка\"/>
    </mc:Choice>
  </mc:AlternateContent>
  <bookViews>
    <workbookView xWindow="0" yWindow="0" windowWidth="21600" windowHeight="10215"/>
  </bookViews>
  <sheets>
    <sheet name="творог" sheetId="1" r:id="rId1"/>
  </sheets>
  <definedNames>
    <definedName name="_xlnm.Print_Area" localSheetId="0">творог!$A$1:$L$22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" i="1" l="1"/>
  <c r="J12" i="1" l="1"/>
  <c r="I12" i="1"/>
  <c r="L12" i="1" s="1"/>
  <c r="K12" i="1" l="1"/>
  <c r="J13" i="1"/>
  <c r="I13" i="1"/>
  <c r="K13" i="1" l="1"/>
  <c r="L13" i="1"/>
</calcChain>
</file>

<file path=xl/sharedStrings.xml><?xml version="1.0" encoding="utf-8"?>
<sst xmlns="http://schemas.openxmlformats.org/spreadsheetml/2006/main" count="34" uniqueCount="32">
  <si>
    <t>УТВЕРЖДАЮ
Директор
МБУ ДОЦ "Краснодарская смена"
_____________________/В.Г.Ивченко/
М.П.</t>
  </si>
  <si>
    <t>Таблица для обоснования начальной (максимальной) цены контракта при выборе метода сопоставимых рыночных цен (анализа рынка)</t>
  </si>
  <si>
    <t>Порядковый номер позиции согласно описанию объекта закупки</t>
  </si>
  <si>
    <t>Наименование товаров, входящих в объект закупки</t>
  </si>
  <si>
    <t xml:space="preserve">Основные характеристики закупаемого товара, работ, услуг
</t>
  </si>
  <si>
    <t>Ед.изм.</t>
  </si>
  <si>
    <t>Кол-во</t>
  </si>
  <si>
    <t>Цена, руб. за единицу товара, работы. услуги</t>
  </si>
  <si>
    <t>Средняя  цена за единицу товара, руб.</t>
  </si>
  <si>
    <t>Среднее квадратичное отклонение</t>
  </si>
  <si>
    <t>Коэффициент вариации (%)</t>
  </si>
  <si>
    <t>Начальная (максимальная) цена  по позиции*, руб.</t>
  </si>
  <si>
    <t>* Расчет начальной (максимальной) цены по позиции производится по формуле:</t>
  </si>
  <si>
    <t xml:space="preserve"> Обоснование начальной (максимальной) цены  контракта (лота)</t>
  </si>
  <si>
    <r>
      <t xml:space="preserve">где:
 - НМЦК </t>
    </r>
    <r>
      <rPr>
        <vertAlign val="superscript"/>
        <sz val="11"/>
        <rFont val="Times New Roman"/>
        <family val="1"/>
        <charset val="204"/>
      </rPr>
      <t>рын</t>
    </r>
    <r>
      <rPr>
        <sz val="11"/>
        <rFont val="Times New Roman"/>
        <family val="1"/>
        <charset val="204"/>
      </rPr>
      <t xml:space="preserve">, определяемая методом сопоставимых рыночных цен (анализа рынка);
v - количество (объем) закупаемого товара (работы, услуги);
n - количество значений, используемых в расчете;
i - номер источника ценовой информации;
</t>
    </r>
    <r>
      <rPr>
        <i/>
        <sz val="11"/>
        <rFont val="Times New Roman"/>
        <family val="1"/>
        <charset val="204"/>
      </rPr>
      <t>ц</t>
    </r>
    <r>
      <rPr>
        <vertAlign val="subscript"/>
        <sz val="11"/>
        <rFont val="Times New Roman"/>
        <family val="1"/>
        <charset val="204"/>
      </rPr>
      <t xml:space="preserve">i  </t>
    </r>
    <r>
      <rPr>
        <sz val="11"/>
        <rFont val="Times New Roman"/>
        <family val="1"/>
        <charset val="204"/>
      </rPr>
      <t xml:space="preserve">- - цена единицы товара, работы, услуги, представленная в источнике с номером i, скорректированная с учетом коэффициентов (индексов), применяемых для пересчета цен товаров, работ, услуг с учетом различий в характеристиках товаров, коммерческих и (или) финансовых условий поставок товаров, выполнения работ, оказания услуг
</t>
    </r>
  </si>
  <si>
    <t xml:space="preserve">   </t>
  </si>
  <si>
    <t xml:space="preserve"> </t>
  </si>
  <si>
    <t>Расчет начальной (максимальной) цены контракта (цены лота) осуществляется заказчиками в соответствии с приказом министерства экономического развития Российской Федерации №567 от 02.10.2013 "Об утверждении методических рекомендаций по применению методов определения начальной (максимальной) цены контракта, цены контракта, заключаемого с единственным поставщиком (подрядчиком, исполнителем)".</t>
  </si>
  <si>
    <t>*</t>
  </si>
  <si>
    <t>В случае если коэффициент вариации по позициям 1-m составляет менее 33 %, совокупность цен принимается однородной</t>
  </si>
  <si>
    <t xml:space="preserve"> Если коэффициент вариации превышает 33%, целесообразно провести дополнительные исследования в целях увеличения количества ценовой информации, используемой в расчетах.</t>
  </si>
  <si>
    <t>В соответствии с описанием обьекта закупки</t>
  </si>
  <si>
    <t>Особенности определения начальной (максимальной) цены контракта:
не применяются в соответствии с абзацем 5 пп. «г» п. 7 Постановления Правительства Российской Федерации от 23.12.2024 № 1875 «О мерах по предоставлению национального режима при осуществлении закупок товаров, работ, услуг для обеспечения государственных и муниципальных нужд, закупок товаров, работ, услуг отдельными видами юридических лиц».</t>
  </si>
  <si>
    <t>Специальная оценка условий труда</t>
  </si>
  <si>
    <t>р.м.</t>
  </si>
  <si>
    <t>Источник цены №1 контракт № № 01461000038260000023_118535 от 25.05.2026</t>
  </si>
  <si>
    <t xml:space="preserve"> оценка профессиональных рисков</t>
  </si>
  <si>
    <t>Источник цены №2 вх.№ 222 от 03.08.2026</t>
  </si>
  <si>
    <t xml:space="preserve">Источник цены №3 вх.№223 от 03.08.2026 </t>
  </si>
  <si>
    <t xml:space="preserve">Начальная (максимальная) цена контракта: 103 137,84 (сто три тысячи сто тридцать семь) рублей  84 копейки </t>
  </si>
  <si>
    <t>Контрактный
управляющий:                                                    Л.И. Тишина 
                                                                           (подпись)                               (инициалы, фамилия)    
    "____"_________________ г.
8(86133)3-35-65</t>
  </si>
  <si>
    <t xml:space="preserve">Предмет контракта: Оказание услуг по специальной оценке условий труда и разработке процедуры и оценке профессиональных рисков
Дата подготовки обоснования начальной (максимальной) цены контракта :    03.08.2026 года             
Используемый метод определения начальной (максимальной) цены контракта: метод сопоставимых рыночных цен.         
Обоснование выбранного метода обоснования начальной (максимальной) цены контракта: метод сопоставления рыночных цен (анализ рынка) является приоритетным для определения и обоснования начальной (максимальной) цены контракта.          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</si>
</sst>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name val="Arial Cyr"/>
      <charset val="204"/>
    </font>
    <font>
      <b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0" fontId="2" fillId="0" borderId="0" xfId="0" applyFont="1" applyAlignmen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4" fontId="5" fillId="0" borderId="2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0" fillId="0" borderId="7" xfId="0" applyBorder="1" applyAlignment="1">
      <alignment wrapText="1"/>
    </xf>
    <xf numFmtId="4" fontId="2" fillId="0" borderId="7" xfId="0" applyNumberFormat="1" applyFont="1" applyBorder="1" applyAlignment="1">
      <alignment wrapText="1"/>
    </xf>
    <xf numFmtId="0" fontId="9" fillId="2" borderId="0" xfId="0" applyFont="1" applyFill="1" applyAlignment="1">
      <alignment vertical="center" wrapText="1"/>
    </xf>
    <xf numFmtId="0" fontId="0" fillId="0" borderId="0" xfId="0" applyBorder="1"/>
    <xf numFmtId="0" fontId="8" fillId="2" borderId="0" xfId="0" applyFont="1" applyFill="1" applyBorder="1" applyAlignment="1">
      <alignment horizontal="left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left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4" fillId="2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wrapText="1"/>
    </xf>
    <xf numFmtId="0" fontId="4" fillId="0" borderId="0" xfId="0" applyFont="1" applyAlignment="1">
      <alignment horizontal="center" wrapText="1"/>
    </xf>
    <xf numFmtId="0" fontId="8" fillId="2" borderId="7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2" fontId="4" fillId="0" borderId="5" xfId="1" applyNumberFormat="1" applyFont="1" applyFill="1" applyBorder="1" applyAlignment="1">
      <alignment horizontal="center" vertical="center" wrapText="1"/>
    </xf>
    <xf numFmtId="2" fontId="4" fillId="0" borderId="6" xfId="1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textRotation="90" wrapText="1"/>
    </xf>
    <xf numFmtId="2" fontId="1" fillId="0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_Лист1_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19</xdr:row>
      <xdr:rowOff>85725</xdr:rowOff>
    </xdr:from>
    <xdr:to>
      <xdr:col>4</xdr:col>
      <xdr:colOff>257175</xdr:colOff>
      <xdr:row>19</xdr:row>
      <xdr:rowOff>485775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33550" y="15414625"/>
          <a:ext cx="962025" cy="139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4"/>
  <sheetViews>
    <sheetView tabSelected="1" zoomScaleNormal="100" zoomScaleSheetLayoutView="144" workbookViewId="0">
      <selection activeCell="D12" sqref="D12"/>
    </sheetView>
  </sheetViews>
  <sheetFormatPr defaultRowHeight="15" x14ac:dyDescent="0.25"/>
  <cols>
    <col min="2" max="2" width="12.42578125" customWidth="1"/>
    <col min="3" max="3" width="16.5703125" customWidth="1"/>
    <col min="6" max="6" width="10.7109375" customWidth="1"/>
    <col min="12" max="12" width="13.140625" customWidth="1"/>
  </cols>
  <sheetData>
    <row r="1" spans="1:20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20" ht="85.5" customHeight="1" x14ac:dyDescent="0.25">
      <c r="A2" s="3"/>
      <c r="B2" s="3"/>
      <c r="C2" s="3"/>
      <c r="D2" s="3"/>
      <c r="E2" s="3"/>
      <c r="F2" s="3"/>
      <c r="G2" s="3"/>
      <c r="H2" s="33" t="s">
        <v>0</v>
      </c>
      <c r="I2" s="33"/>
      <c r="J2" s="33"/>
      <c r="K2" s="33"/>
      <c r="L2" s="33"/>
    </row>
    <row r="3" spans="1:2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20" x14ac:dyDescent="0.25">
      <c r="A4" s="34" t="s">
        <v>13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20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20" ht="81" customHeight="1" x14ac:dyDescent="0.25">
      <c r="A6" s="32" t="s">
        <v>31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20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20" ht="27.75" customHeight="1" x14ac:dyDescent="0.25">
      <c r="A8" s="39" t="s">
        <v>1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</row>
    <row r="9" spans="1:20" x14ac:dyDescent="0.25">
      <c r="A9" s="2"/>
      <c r="B9" s="2"/>
      <c r="C9" s="2"/>
      <c r="D9" s="2"/>
      <c r="E9" s="2"/>
      <c r="F9" s="2"/>
      <c r="G9" s="1"/>
      <c r="H9" s="1"/>
      <c r="I9" s="1"/>
      <c r="J9" s="1"/>
      <c r="K9" s="1"/>
      <c r="L9" s="1"/>
    </row>
    <row r="10" spans="1:20" ht="32.25" customHeight="1" x14ac:dyDescent="0.25">
      <c r="A10" s="41" t="s">
        <v>2</v>
      </c>
      <c r="B10" s="41" t="s">
        <v>3</v>
      </c>
      <c r="C10" s="41" t="s">
        <v>4</v>
      </c>
      <c r="D10" s="41" t="s">
        <v>5</v>
      </c>
      <c r="E10" s="41" t="s">
        <v>6</v>
      </c>
      <c r="F10" s="42" t="s">
        <v>7</v>
      </c>
      <c r="G10" s="43"/>
      <c r="H10" s="43"/>
      <c r="I10" s="44" t="s">
        <v>8</v>
      </c>
      <c r="J10" s="41" t="s">
        <v>9</v>
      </c>
      <c r="K10" s="25" t="s">
        <v>10</v>
      </c>
      <c r="L10" s="27" t="s">
        <v>11</v>
      </c>
    </row>
    <row r="11" spans="1:20" ht="128.25" customHeight="1" x14ac:dyDescent="0.25">
      <c r="A11" s="41"/>
      <c r="B11" s="41"/>
      <c r="C11" s="41"/>
      <c r="D11" s="41"/>
      <c r="E11" s="41"/>
      <c r="F11" s="14" t="s">
        <v>25</v>
      </c>
      <c r="G11" s="14" t="s">
        <v>27</v>
      </c>
      <c r="H11" s="14" t="s">
        <v>28</v>
      </c>
      <c r="I11" s="45"/>
      <c r="J11" s="41"/>
      <c r="K11" s="26"/>
      <c r="L11" s="27"/>
    </row>
    <row r="12" spans="1:20" ht="63.75" customHeight="1" x14ac:dyDescent="0.25">
      <c r="A12" s="23">
        <v>1</v>
      </c>
      <c r="B12" s="6" t="s">
        <v>23</v>
      </c>
      <c r="C12" s="7" t="s">
        <v>21</v>
      </c>
      <c r="D12" s="6" t="s">
        <v>24</v>
      </c>
      <c r="E12" s="6">
        <v>52</v>
      </c>
      <c r="F12" s="46">
        <v>1113</v>
      </c>
      <c r="G12" s="46">
        <v>1400</v>
      </c>
      <c r="H12" s="46">
        <v>1500</v>
      </c>
      <c r="I12" s="47">
        <f t="shared" ref="I12" si="0">ROUND((F12+G12+H12)/3,2)</f>
        <v>1337.67</v>
      </c>
      <c r="J12" s="6">
        <f t="shared" ref="J12" si="1">STDEV(H12,G12,F12)</f>
        <v>200.88885816125665</v>
      </c>
      <c r="K12" s="48">
        <f>J12/I12*100</f>
        <v>15.017818906102152</v>
      </c>
      <c r="L12" s="49">
        <f t="shared" ref="L12" si="2">E12*I12</f>
        <v>69558.84</v>
      </c>
    </row>
    <row r="13" spans="1:20" ht="84.6" customHeight="1" x14ac:dyDescent="0.25">
      <c r="A13" s="6">
        <v>2</v>
      </c>
      <c r="B13" s="6" t="s">
        <v>26</v>
      </c>
      <c r="C13" s="7" t="s">
        <v>21</v>
      </c>
      <c r="D13" s="6" t="s">
        <v>24</v>
      </c>
      <c r="E13" s="8">
        <v>52</v>
      </c>
      <c r="F13" s="9">
        <v>437.25</v>
      </c>
      <c r="G13" s="10">
        <v>700</v>
      </c>
      <c r="H13" s="10">
        <v>800</v>
      </c>
      <c r="I13" s="11">
        <f t="shared" ref="I13" si="3">ROUND((F13+G13+H13)/3,2)</f>
        <v>645.75</v>
      </c>
      <c r="J13" s="12">
        <f t="shared" ref="J13" si="4">STDEV(H13,G13,F13)</f>
        <v>187.36111522938799</v>
      </c>
      <c r="K13" s="11">
        <f>J13/I13*100</f>
        <v>29.014497131922262</v>
      </c>
      <c r="L13" s="13">
        <f t="shared" ref="L13" si="5">E13*I13</f>
        <v>33579</v>
      </c>
    </row>
    <row r="14" spans="1:20" ht="30" customHeight="1" x14ac:dyDescent="0.25">
      <c r="A14" s="30" t="s">
        <v>29</v>
      </c>
      <c r="B14" s="30"/>
      <c r="C14" s="30"/>
      <c r="D14" s="30"/>
      <c r="E14" s="30"/>
      <c r="F14" s="30"/>
      <c r="G14" s="30"/>
      <c r="H14" s="30"/>
      <c r="I14" s="31"/>
      <c r="J14" s="31"/>
      <c r="K14" s="31"/>
      <c r="L14" s="22">
        <f>SUM(L12:L13)</f>
        <v>103137.84</v>
      </c>
      <c r="M14" s="20"/>
      <c r="N14" s="20"/>
    </row>
    <row r="15" spans="1:20" ht="65.25" customHeight="1" x14ac:dyDescent="0.25">
      <c r="A15" s="35" t="s">
        <v>17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21"/>
      <c r="N15" s="21"/>
      <c r="O15" s="19"/>
      <c r="P15" s="19"/>
      <c r="Q15" s="19"/>
      <c r="R15" s="19"/>
      <c r="S15" s="19"/>
      <c r="T15" s="19"/>
    </row>
    <row r="16" spans="1:20" ht="21.75" customHeight="1" x14ac:dyDescent="0.25">
      <c r="A16" s="3" t="s">
        <v>18</v>
      </c>
      <c r="B16" s="3" t="s">
        <v>19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6" ht="34.5" customHeight="1" x14ac:dyDescent="0.25">
      <c r="A17" s="3"/>
      <c r="B17" s="37" t="s">
        <v>20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15"/>
    </row>
    <row r="18" spans="1:16" ht="22.5" customHeight="1" x14ac:dyDescent="0.25">
      <c r="A18" s="16"/>
      <c r="B18" s="16"/>
      <c r="C18" s="16"/>
      <c r="D18" s="16"/>
      <c r="E18" s="16"/>
      <c r="F18" s="16"/>
      <c r="G18" s="16"/>
      <c r="H18" s="16"/>
      <c r="I18" s="17"/>
      <c r="J18" s="17"/>
      <c r="K18" s="17"/>
      <c r="L18" s="18"/>
    </row>
    <row r="19" spans="1:16" ht="15" customHeight="1" x14ac:dyDescent="0.25">
      <c r="A19" s="28" t="s">
        <v>12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6" ht="157.5" customHeight="1" x14ac:dyDescent="0.25">
      <c r="A20" s="29" t="s">
        <v>14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N20" t="s">
        <v>15</v>
      </c>
    </row>
    <row r="21" spans="1:16" ht="82.5" customHeight="1" x14ac:dyDescent="0.25">
      <c r="A21" s="29" t="s">
        <v>22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6" ht="95.25" customHeight="1" x14ac:dyDescent="0.25">
      <c r="A22" s="24" t="s">
        <v>30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P22" t="s">
        <v>16</v>
      </c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</sheetData>
  <mergeCells count="21">
    <mergeCell ref="A6:L6"/>
    <mergeCell ref="H2:L2"/>
    <mergeCell ref="A4:L4"/>
    <mergeCell ref="A15:L15"/>
    <mergeCell ref="B17:L17"/>
    <mergeCell ref="A8:L8"/>
    <mergeCell ref="A10:A11"/>
    <mergeCell ref="B10:B11"/>
    <mergeCell ref="C10:C11"/>
    <mergeCell ref="D10:D11"/>
    <mergeCell ref="E10:E11"/>
    <mergeCell ref="F10:H10"/>
    <mergeCell ref="I10:I11"/>
    <mergeCell ref="J10:J11"/>
    <mergeCell ref="A22:L22"/>
    <mergeCell ref="K10:K11"/>
    <mergeCell ref="L10:L11"/>
    <mergeCell ref="A19:L19"/>
    <mergeCell ref="A20:L20"/>
    <mergeCell ref="A14:K14"/>
    <mergeCell ref="A21:L21"/>
  </mergeCells>
  <pageMargins left="0.7" right="0.7" top="0.75" bottom="0.75" header="0.3" footer="0.3"/>
  <pageSetup paperSize="9" scale="69" orientation="portrait" r:id="rId1"/>
  <rowBreaks count="1" manualBreakCount="1">
    <brk id="1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творог</vt:lpstr>
      <vt:lpstr>творог!Область_печати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krdsmena-sc</dc:creator>
  <cp:lastModifiedBy>krdsmena-sr</cp:lastModifiedBy>
  <cp:lastPrinted>2024-02-13T10:56:46Z</cp:lastPrinted>
  <dcterms:created xsi:type="dcterms:W3CDTF">2017-02-06T09:56:58Z</dcterms:created>
  <dcterms:modified xsi:type="dcterms:W3CDTF">2026-08-04T06:52:03Z</dcterms:modified>
</cp:coreProperties>
</file>