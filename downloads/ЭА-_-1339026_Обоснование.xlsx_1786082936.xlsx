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obmen\Договорной отдел\! АУКЦИОНЫ 2026\Обучение пожарной безопасности\АГЗ\"/>
    </mc:Choice>
  </mc:AlternateContent>
  <xr:revisionPtr revIDLastSave="0" documentId="13_ncr:1_{B71419A9-C438-4854-BC2C-6914C2C67374}" xr6:coauthVersionLast="47" xr6:coauthVersionMax="47" xr10:uidLastSave="{00000000-0000-0000-0000-000000000000}"/>
  <bookViews>
    <workbookView xWindow="-120" yWindow="-120" windowWidth="29040" windowHeight="15840" xr2:uid="{20B4AC28-BCF9-4680-8A06-CBAE0931A664}"/>
  </bookViews>
  <sheets>
    <sheet name="Лист1" sheetId="1" r:id="rId1"/>
  </sheets>
  <definedNames>
    <definedName name="_Hlk205302674" localSheetId="0">Лист1!$B$11</definedName>
    <definedName name="_xlnm._FilterDatabase" localSheetId="0" hidden="1">Лист1!$A$9:$K$10</definedName>
    <definedName name="_xlnm.Print_Titles" localSheetId="0">Лист1!$8:$9</definedName>
  </definedNames>
  <calcPr calcId="181029"/>
</workbook>
</file>

<file path=xl/calcChain.xml><?xml version="1.0" encoding="utf-8"?>
<calcChain xmlns="http://schemas.openxmlformats.org/spreadsheetml/2006/main">
  <c r="K10" i="1" l="1"/>
  <c r="J10" i="1"/>
  <c r="I10" i="1"/>
  <c r="H10" i="1"/>
  <c r="L10" i="1" l="1"/>
  <c r="G14" i="1"/>
</calcChain>
</file>

<file path=xl/sharedStrings.xml><?xml version="1.0" encoding="utf-8"?>
<sst xmlns="http://schemas.openxmlformats.org/spreadsheetml/2006/main" count="30" uniqueCount="30">
  <si>
    <t>№ п/п</t>
  </si>
  <si>
    <t>Наименование услуги</t>
  </si>
  <si>
    <t>Однородность совокупности значений выявленных цен, используемых в расчете Н(М)ЦК</t>
  </si>
  <si>
    <t xml:space="preserve">коэффициент вариации цен V (%)            </t>
  </si>
  <si>
    <t>рублей</t>
  </si>
  <si>
    <t>Специалист по закупкам договорного отдела  КГБУЗ ККПТД №1</t>
  </si>
  <si>
    <t>Федорова С.А.</t>
  </si>
  <si>
    <t>ед. изм.</t>
  </si>
  <si>
    <t>В соответствии с Описанием объекта закупки</t>
  </si>
  <si>
    <t xml:space="preserve">В результате проведенного расчета </t>
  </si>
  <si>
    <t xml:space="preserve">Коммерческие предложения, (руб./ед.)   </t>
  </si>
  <si>
    <t xml:space="preserve">Средняя арифметическая цена за единицу &lt;ц&gt; </t>
  </si>
  <si>
    <t>Обоснование начальной (максимальной) цены контракта</t>
  </si>
  <si>
    <t xml:space="preserve">Начальная (максимальная) цена котракта </t>
  </si>
  <si>
    <t>составила:</t>
  </si>
  <si>
    <t>Среднее квадратичное отклонение</t>
  </si>
  <si>
    <t>Кол-во, ед. изм</t>
  </si>
  <si>
    <t>Основные характеристики объекта закупки:</t>
  </si>
  <si>
    <t>Используемый метод определения НМЦК с обоснованием:</t>
  </si>
  <si>
    <t xml:space="preserve">Метод сопоставимых рыночных цен (анализ рынка)
</t>
  </si>
  <si>
    <t>Использованы данные из открытых источников:</t>
  </si>
  <si>
    <t>ответы на адресные ценовые запросы поставщикам (коммерческие предложения)</t>
  </si>
  <si>
    <t>Н(М)ЦК</t>
  </si>
  <si>
    <t>Цена за ед.изм. с округлением до сотых долей, руб.</t>
  </si>
  <si>
    <t>Н(М)ЦК с учетом округления цены за ед. изм., руб.</t>
  </si>
  <si>
    <t>чел</t>
  </si>
  <si>
    <t>Услуги по дополнительному профессиональному образованию</t>
  </si>
  <si>
    <t>Источник №2
Вх.№ 735 от 07.07.2026</t>
  </si>
  <si>
    <t>Источник №3
Вх.№ 749 от 13.07.2026</t>
  </si>
  <si>
    <t>Источник №1
Вх.№ 757 от 14.07.2026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</si>
</sst>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 Cyr"/>
      <family val="2"/>
      <charset val="204"/>
    </font>
    <font>
      <sz val="1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b/>
      <sz val="11"/>
      <name val="Times New Roman"/>
      <family val="1"/>
      <charset val="204"/>
    </font>
    <font>
      <b/>
      <i/>
      <sz val="11"/>
      <name val="Times New Roman"/>
      <family val="1"/>
      <charset val="204"/>
    </font>
    <font>
      <sz val="10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3" fontId="1" fillId="0" borderId="2" xfId="0" applyNumberFormat="1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4" fontId="5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vertical="center"/>
    </xf>
    <xf numFmtId="4" fontId="6" fillId="0" borderId="1" xfId="0" applyNumberFormat="1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2" fontId="1" fillId="0" borderId="0" xfId="0" applyNumberFormat="1" applyFont="1" applyAlignment="1">
      <alignment vertical="center"/>
    </xf>
    <xf numFmtId="0" fontId="5" fillId="0" borderId="1" xfId="0" applyFont="1" applyBorder="1" applyAlignment="1">
      <alignment vertical="center" wrapText="1"/>
    </xf>
    <xf numFmtId="4" fontId="1" fillId="0" borderId="1" xfId="0" applyNumberFormat="1" applyFont="1" applyBorder="1" applyAlignment="1">
      <alignment horizontal="center" vertical="center" wrapText="1"/>
    </xf>
    <xf numFmtId="2" fontId="3" fillId="2" borderId="1" xfId="0" applyNumberFormat="1" applyFont="1" applyFill="1" applyBorder="1" applyAlignment="1">
      <alignment horizontal="center" vertical="center" wrapText="1"/>
    </xf>
    <xf numFmtId="3" fontId="5" fillId="0" borderId="3" xfId="0" applyNumberFormat="1" applyFont="1" applyBorder="1" applyAlignment="1">
      <alignment horizontal="center" vertical="center" wrapText="1"/>
    </xf>
    <xf numFmtId="3" fontId="5" fillId="0" borderId="4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F1C1B"/>
    </indexedColors>
    <mruColors>
      <color rgb="FF8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B7055-D079-43B4-9299-08AE714991E1}">
  <sheetPr>
    <pageSetUpPr fitToPage="1"/>
  </sheetPr>
  <dimension ref="A1:N16"/>
  <sheetViews>
    <sheetView tabSelected="1" zoomScaleNormal="100" zoomScaleSheetLayoutView="66" workbookViewId="0">
      <selection activeCell="I21" sqref="I21"/>
    </sheetView>
  </sheetViews>
  <sheetFormatPr defaultRowHeight="15" x14ac:dyDescent="0.2"/>
  <cols>
    <col min="1" max="1" width="4" style="8" customWidth="1"/>
    <col min="2" max="2" width="61.5703125" style="7" customWidth="1"/>
    <col min="3" max="3" width="10" style="7" customWidth="1"/>
    <col min="4" max="4" width="9.5703125" style="7" customWidth="1"/>
    <col min="5" max="5" width="13.140625" style="13" customWidth="1"/>
    <col min="6" max="6" width="15.28515625" style="13" customWidth="1"/>
    <col min="7" max="7" width="14.42578125" style="13" customWidth="1"/>
    <col min="8" max="8" width="15.42578125" style="13" customWidth="1"/>
    <col min="9" max="9" width="14.42578125" style="13" customWidth="1"/>
    <col min="10" max="10" width="14.7109375" style="13" customWidth="1"/>
    <col min="11" max="11" width="13.7109375" style="7" customWidth="1"/>
    <col min="12" max="12" width="15.42578125" style="7" customWidth="1"/>
    <col min="13" max="16384" width="9.140625" style="7"/>
  </cols>
  <sheetData>
    <row r="1" spans="1:14" x14ac:dyDescent="0.2">
      <c r="B1" s="2" t="s">
        <v>12</v>
      </c>
      <c r="C1" s="2"/>
      <c r="D1" s="2"/>
      <c r="E1" s="2"/>
      <c r="F1" s="2"/>
      <c r="G1" s="2"/>
      <c r="H1" s="2"/>
      <c r="I1" s="2"/>
      <c r="J1" s="2"/>
      <c r="K1" s="2"/>
      <c r="L1" s="2"/>
    </row>
    <row r="2" spans="1:14" x14ac:dyDescent="0.2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</row>
    <row r="3" spans="1:14" ht="12.75" customHeight="1" x14ac:dyDescent="0.2">
      <c r="A3" s="1" t="s">
        <v>17</v>
      </c>
      <c r="B3" s="22"/>
      <c r="C3" s="1" t="s">
        <v>8</v>
      </c>
      <c r="D3" s="22"/>
      <c r="E3" s="7"/>
      <c r="F3" s="1"/>
      <c r="G3" s="1"/>
      <c r="H3" s="1"/>
      <c r="I3" s="1"/>
      <c r="J3" s="1"/>
      <c r="K3" s="1"/>
      <c r="L3" s="1"/>
    </row>
    <row r="4" spans="1:14" x14ac:dyDescent="0.2">
      <c r="A4" s="1" t="s">
        <v>18</v>
      </c>
      <c r="B4" s="22"/>
      <c r="C4" s="1" t="s">
        <v>19</v>
      </c>
      <c r="D4" s="22"/>
      <c r="E4" s="7"/>
      <c r="F4" s="1"/>
      <c r="G4" s="1"/>
      <c r="H4" s="1"/>
      <c r="I4" s="1"/>
      <c r="J4" s="1"/>
      <c r="K4" s="1"/>
      <c r="L4" s="1"/>
    </row>
    <row r="5" spans="1:14" x14ac:dyDescent="0.2">
      <c r="A5" s="23"/>
      <c r="B5" s="23"/>
      <c r="C5" s="24" t="s">
        <v>20</v>
      </c>
      <c r="E5" s="7"/>
      <c r="F5" s="23"/>
      <c r="G5" s="23"/>
      <c r="H5" s="23"/>
      <c r="I5" s="23"/>
      <c r="J5" s="23"/>
      <c r="K5" s="23"/>
      <c r="L5" s="23"/>
    </row>
    <row r="6" spans="1:14" x14ac:dyDescent="0.2">
      <c r="E6" s="7" t="s">
        <v>21</v>
      </c>
      <c r="K6" s="13"/>
      <c r="L6" s="13"/>
    </row>
    <row r="7" spans="1:14" x14ac:dyDescent="0.2">
      <c r="K7" s="13"/>
      <c r="L7" s="13"/>
    </row>
    <row r="8" spans="1:14" s="11" customFormat="1" ht="42.75" customHeight="1" x14ac:dyDescent="0.2">
      <c r="A8" s="29" t="s">
        <v>0</v>
      </c>
      <c r="B8" s="32" t="s">
        <v>1</v>
      </c>
      <c r="C8" s="32" t="s">
        <v>16</v>
      </c>
      <c r="D8" s="32" t="s">
        <v>7</v>
      </c>
      <c r="E8" s="31" t="s">
        <v>10</v>
      </c>
      <c r="F8" s="31"/>
      <c r="G8" s="31"/>
      <c r="H8" s="28" t="s">
        <v>2</v>
      </c>
      <c r="I8" s="28"/>
      <c r="J8" s="28"/>
      <c r="K8" s="28" t="s">
        <v>22</v>
      </c>
      <c r="L8" s="28"/>
    </row>
    <row r="9" spans="1:14" s="12" customFormat="1" ht="57.75" customHeight="1" x14ac:dyDescent="0.2">
      <c r="A9" s="30"/>
      <c r="B9" s="33"/>
      <c r="C9" s="33"/>
      <c r="D9" s="33"/>
      <c r="E9" s="27" t="s">
        <v>29</v>
      </c>
      <c r="F9" s="27" t="s">
        <v>27</v>
      </c>
      <c r="G9" s="27" t="s">
        <v>28</v>
      </c>
      <c r="H9" s="17" t="s">
        <v>11</v>
      </c>
      <c r="I9" s="17" t="s">
        <v>15</v>
      </c>
      <c r="J9" s="17" t="s">
        <v>3</v>
      </c>
      <c r="K9" s="17" t="s">
        <v>23</v>
      </c>
      <c r="L9" s="17" t="s">
        <v>24</v>
      </c>
    </row>
    <row r="10" spans="1:14" ht="30.75" customHeight="1" x14ac:dyDescent="0.2">
      <c r="A10" s="18">
        <v>1</v>
      </c>
      <c r="B10" s="26" t="s">
        <v>26</v>
      </c>
      <c r="C10" s="14">
        <v>25</v>
      </c>
      <c r="D10" s="14" t="s">
        <v>25</v>
      </c>
      <c r="E10" s="15">
        <v>7000</v>
      </c>
      <c r="F10" s="15">
        <v>3900</v>
      </c>
      <c r="G10" s="15">
        <v>5500</v>
      </c>
      <c r="H10" s="15">
        <f>AVERAGE(E10:G10)</f>
        <v>5466.666666666667</v>
      </c>
      <c r="I10" s="19">
        <f>STDEV(E10:G10)</f>
        <v>1550.2687938977988</v>
      </c>
      <c r="J10" s="19">
        <f>I10/H10*100</f>
        <v>28.358575498130463</v>
      </c>
      <c r="K10" s="20">
        <f>ROUND(H10,2)</f>
        <v>5466.67</v>
      </c>
      <c r="L10" s="16">
        <f>K10*C10</f>
        <v>136666.75</v>
      </c>
      <c r="N10" s="25"/>
    </row>
    <row r="12" spans="1:14" x14ac:dyDescent="0.2">
      <c r="A12" s="2" t="s">
        <v>9</v>
      </c>
      <c r="B12" s="2"/>
      <c r="C12" s="2"/>
      <c r="D12" s="2"/>
      <c r="E12" s="4"/>
      <c r="F12" s="4"/>
      <c r="I12" s="2"/>
      <c r="J12" s="2"/>
      <c r="K12" s="2"/>
    </row>
    <row r="13" spans="1:14" x14ac:dyDescent="0.2">
      <c r="A13" s="1"/>
      <c r="B13" s="21" t="s">
        <v>13</v>
      </c>
      <c r="C13" s="2"/>
      <c r="D13" s="1"/>
      <c r="E13" s="7"/>
      <c r="F13" s="7"/>
      <c r="I13" s="1"/>
      <c r="J13" s="1"/>
      <c r="K13" s="1"/>
    </row>
    <row r="14" spans="1:14" x14ac:dyDescent="0.2">
      <c r="A14" s="1"/>
      <c r="B14" s="3" t="s">
        <v>14</v>
      </c>
      <c r="C14" s="3"/>
      <c r="D14" s="1"/>
      <c r="E14" s="7"/>
      <c r="F14" s="7"/>
      <c r="G14" s="9">
        <f>L10</f>
        <v>136666.75</v>
      </c>
      <c r="H14" s="3" t="s">
        <v>4</v>
      </c>
      <c r="I14" s="1"/>
      <c r="J14" s="1"/>
      <c r="K14" s="1"/>
    </row>
    <row r="15" spans="1:14" x14ac:dyDescent="0.2">
      <c r="A15" s="1"/>
      <c r="B15" s="1"/>
      <c r="C15" s="1"/>
      <c r="D15" s="1"/>
      <c r="E15" s="7"/>
      <c r="F15" s="7"/>
      <c r="G15" s="7"/>
      <c r="H15" s="1"/>
      <c r="I15" s="1"/>
      <c r="J15" s="1"/>
      <c r="K15" s="1"/>
    </row>
    <row r="16" spans="1:14" x14ac:dyDescent="0.2">
      <c r="A16" s="1"/>
      <c r="B16" s="1" t="s">
        <v>5</v>
      </c>
      <c r="C16" s="1"/>
      <c r="D16" s="1"/>
      <c r="E16" s="5"/>
      <c r="F16" s="6"/>
      <c r="G16" s="7" t="s">
        <v>6</v>
      </c>
      <c r="H16" s="10">
        <v>46217</v>
      </c>
      <c r="J16" s="1"/>
      <c r="K16" s="1"/>
    </row>
  </sheetData>
  <sheetProtection selectLockedCells="1" selectUnlockedCells="1"/>
  <autoFilter ref="A9:K10" xr:uid="{672B7055-D079-43B4-9299-08AE714991E1}"/>
  <mergeCells count="7">
    <mergeCell ref="K8:L8"/>
    <mergeCell ref="A8:A9"/>
    <mergeCell ref="E8:G8"/>
    <mergeCell ref="H8:J8"/>
    <mergeCell ref="B8:B9"/>
    <mergeCell ref="C8:C9"/>
    <mergeCell ref="D8:D9"/>
  </mergeCells>
  <phoneticPr fontId="4" type="noConversion"/>
  <conditionalFormatting sqref="J1:J1048576">
    <cfRule type="cellIs" dxfId="0" priority="1" operator="greaterThan">
      <formula>33</formula>
    </cfRule>
  </conditionalFormatting>
  <pageMargins left="0.23622047244094491" right="0.15748031496062992" top="0.35433070866141736" bottom="0.35433070866141736" header="0.31496062992125984" footer="0.11811023622047245"/>
  <pageSetup paperSize="9" scale="72" firstPageNumber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Лист1!_Hlk205302674</vt:lpstr>
      <vt:lpstr>Лист1!Заголовки_для_печати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Timoshenko D.V.</dc:creator>
  <cp:lastModifiedBy>Договорной отдел 5</cp:lastModifiedBy>
  <cp:lastPrinted>2026-07-14T06:06:31Z</cp:lastPrinted>
  <dcterms:created xsi:type="dcterms:W3CDTF">2015-02-02T04:21:05Z</dcterms:created>
  <dcterms:modified xsi:type="dcterms:W3CDTF">2026-07-14T06:06:40Z</dcterms:modified>
</cp:coreProperties>
</file>