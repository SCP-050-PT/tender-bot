
<file path=[Content_Types].xml><?xml version="1.0" encoding="utf-8"?>
<Types xmlns="http://schemas.openxmlformats.org/package/2006/content-types">
  <Default Extension="svg" ContentType="image/svg+xml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3" sheetId="1" state="visible" r:id="rId1"/>
  </sheets>
  <definedNames>
    <definedName name="_xlnm._FilterDatabase" localSheetId="0" hidden="1">Лист3!$A$7:$E$9</definedName>
    <definedName name="_xlnm.Print_Area" localSheetId="0" hidden="0">Лист3!$A$2:$V$17</definedName>
    <definedName name="_xlnm._FilterDatabase" localSheetId="0" hidden="1">Лист3!$A$7:$E$9</definedName>
  </definedNames>
  <calcPr/>
</workbook>
</file>

<file path=xl/sharedStrings.xml><?xml version="1.0" encoding="utf-8"?>
<sst xmlns="http://schemas.openxmlformats.org/spreadsheetml/2006/main" count="36" uniqueCount="36">
  <si>
    <t xml:space="preserve">ОБОСНОВАНИЕ НАЧАЛЬНОЙ (МАКСИМАЛЬНОЙ) ЦЕНЫ КОНТРАКТА</t>
  </si>
  <si>
    <t xml:space="preserve"> Начальная (максимальная) цена контракта на оказание услуг по оценке профессиональных рисков и разработки методик оценки и управления профессиональными рисками</t>
  </si>
  <si>
    <t>№</t>
  </si>
  <si>
    <t xml:space="preserve">Наименование предмета контракта</t>
  </si>
  <si>
    <t xml:space="preserve">Рабочие места</t>
  </si>
  <si>
    <t xml:space="preserve">Кол-во </t>
  </si>
  <si>
    <t xml:space="preserve">Коммерческие предложения (руб.)</t>
  </si>
  <si>
    <t xml:space="preserve">Однородность совокупности значений выявленных цен, используемых в расчете Н(М)ЦК, ЦКЕП</t>
  </si>
  <si>
    <t xml:space="preserve">Н(М)ЦК, определяемая методом сопоставимых рыночных цен (анализа рынка)*</t>
  </si>
  <si>
    <t xml:space="preserve">Код ОКПД2</t>
  </si>
  <si>
    <t xml:space="preserve">Коммерческое предложение    № 1                 рег. номер                01/7-2981-2026 дата рег. 29.05.2026         </t>
  </si>
  <si>
    <t xml:space="preserve">Коммерческое предложение  № 2               рег. номер                01/7-2974-2026 дата рег. 29.05.2026   </t>
  </si>
  <si>
    <t xml:space="preserve">Коммерческое предложение     № 3                      рег. номер                01/7-2972-2026 дата рег. 29.05.2026   </t>
  </si>
  <si>
    <t xml:space="preserve">Коммерческое предложение  №4     рег. номер                01/7-2976-2026      дата рег. 29.05.2026   </t>
  </si>
  <si>
    <t xml:space="preserve">Коммерческое предложение  №5  рег. номер                01/7-2973-2026                  дата рег. 29.05.2026       </t>
  </si>
  <si>
    <t xml:space="preserve">Средняя арифметическая цена за единицу     &lt;ц&gt; </t>
  </si>
  <si>
    <t xml:space="preserve">Среднее квадратичное отклонение</t>
  </si>
  <si>
    <r>
      <t xml:space="preserve">коэффициент вариации цен V (%)           </t>
    </r>
    <r>
      <rPr>
        <i/>
        <sz val="18"/>
        <color theme="1" tint="0.049989318521683403"/>
        <rFont val="Times New Roman"/>
      </rPr>
      <t xml:space="preserve">                   (не должен превышать 33%)</t>
    </r>
  </si>
  <si>
    <t xml:space="preserve">Расчет Н(М)ЦК по формуле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</si>
  <si>
    <t xml:space="preserve">Цена за единицу изм. (руб.)</t>
  </si>
  <si>
    <t xml:space="preserve">Цена за единицу изм. с округлением до сотых долей после запятой (руб.)</t>
  </si>
  <si>
    <t xml:space="preserve">Н(М)ЦК, контракта с учетом округления цены за единицу (руб.)</t>
  </si>
  <si>
    <t xml:space="preserve">сумма по кодам ОКПД2</t>
  </si>
  <si>
    <t xml:space="preserve">71.20.19.130 </t>
  </si>
  <si>
    <t xml:space="preserve"> «Услуги по оценке  профессиональных рисков и разработки методик оценки и управления профессиональными рискамиусловий труда»</t>
  </si>
  <si>
    <t>раб.место</t>
  </si>
  <si>
    <t xml:space="preserve">В результате проведенного расчета НМЦК составила:</t>
  </si>
  <si>
    <t>рублей</t>
  </si>
  <si>
    <t>Согласовано:</t>
  </si>
  <si>
    <t xml:space="preserve">Руководитель службы охраны труда и экологической безопасности</t>
  </si>
  <si>
    <t>________________</t>
  </si>
  <si>
    <t xml:space="preserve">Н.А. Ефанова</t>
  </si>
  <si>
    <t xml:space="preserve">Расчет НМЦК произвел: старший специалист службы охраны труда и экологической безопасности</t>
  </si>
  <si>
    <t xml:space="preserve"> Набокова В.В. </t>
  </si>
  <si>
    <t xml:space="preserve">+ 7 978 24 20 853</t>
  </si>
  <si>
    <t xml:space="preserve">Дата подготовки обоснования 17.07.2026г.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</si>
</sst>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-* #,##0.00\ _₽_-;\-* #,##0.00\ _₽_-;_-* &quot;-&quot;??\ _₽_-;_-@_-"/>
    <numFmt numFmtId="161" formatCode="0.0000"/>
  </numFmts>
  <fonts count="12">
    <font>
      <sz val="11.000000"/>
      <color theme="1"/>
      <name val="Calibri"/>
      <scheme val="minor"/>
    </font>
    <font>
      <sz val="11.000000"/>
      <name val="Calibri"/>
    </font>
    <font>
      <sz val="10.000000"/>
      <name val="Arial"/>
    </font>
    <font>
      <sz val="10.000000"/>
      <color theme="1" tint="0.049989318521683403"/>
      <name val="Times New Roman"/>
    </font>
    <font>
      <sz val="10.000000"/>
      <name val="Times New Roman"/>
    </font>
    <font>
      <sz val="12.000000"/>
      <color theme="1" tint="0.049989318521683403"/>
      <name val="Times New Roman"/>
    </font>
    <font>
      <sz val="12.000000"/>
      <name val="Times New Roman"/>
    </font>
    <font>
      <sz val="18.000000"/>
      <color theme="1" tint="0.049989318521683403"/>
      <name val="Times New Roman"/>
    </font>
    <font>
      <sz val="18.000000"/>
      <name val="Times New Roman"/>
    </font>
    <font>
      <sz val="18.000000"/>
      <color indexed="63"/>
      <name val="Times New Roman"/>
    </font>
    <font>
      <sz val="18.000000"/>
      <color theme="1"/>
      <name val="Times New Roman"/>
    </font>
    <font>
      <sz val="18.000000"/>
      <color theme="1" tint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/>
        <bgColor theme="0"/>
      </patternFill>
    </fill>
  </fills>
  <borders count="1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66">
    <xf fontId="0" fillId="0" borderId="0" numFmtId="0" xfId="0"/>
    <xf fontId="3" fillId="0" borderId="0" numFmtId="0" xfId="1" applyFont="1"/>
    <xf fontId="4" fillId="0" borderId="0" numFmtId="0" xfId="1" applyFont="1"/>
    <xf fontId="3" fillId="0" borderId="0" numFmtId="0" xfId="1" applyFont="1" applyAlignment="1">
      <alignment horizontal="center"/>
    </xf>
    <xf fontId="5" fillId="0" borderId="0" numFmtId="0" xfId="1" applyFont="1"/>
    <xf fontId="6" fillId="0" borderId="0" numFmtId="0" xfId="1" applyFont="1"/>
    <xf fontId="5" fillId="0" borderId="0" numFmtId="0" xfId="1" applyFont="1" applyAlignment="1">
      <alignment horizontal="center"/>
    </xf>
    <xf fontId="7" fillId="0" borderId="0" numFmtId="0" xfId="1" applyFont="1"/>
    <xf fontId="8" fillId="0" borderId="0" numFmtId="0" xfId="1" applyFont="1"/>
    <xf fontId="7" fillId="0" borderId="0" numFmtId="0" xfId="1" applyFont="1" applyAlignment="1">
      <alignment horizontal="center"/>
    </xf>
    <xf fontId="7" fillId="0" borderId="0" numFmtId="0" xfId="1" applyFont="1" applyAlignment="1">
      <alignment horizontal="left" wrapText="1"/>
    </xf>
    <xf fontId="7" fillId="0" borderId="0" numFmtId="0" xfId="1" applyFont="1" applyAlignment="1">
      <alignment horizontal="center" vertical="center" wrapText="1"/>
    </xf>
    <xf fontId="8" fillId="0" borderId="0" numFmtId="0" xfId="1" applyFont="1" applyAlignment="1">
      <alignment horizontal="center" vertical="center" wrapText="1"/>
    </xf>
    <xf fontId="8" fillId="0" borderId="0" numFmtId="0" xfId="0" applyFont="1" applyAlignment="1">
      <alignment horizontal="center" vertical="top" wrapText="1"/>
    </xf>
    <xf fontId="8" fillId="0" borderId="0" numFmtId="0" xfId="0" applyFont="1" applyAlignment="1">
      <alignment horizontal="center" wrapText="1"/>
    </xf>
    <xf fontId="7" fillId="0" borderId="1" numFmtId="0" xfId="1" applyFont="1" applyBorder="1" applyAlignment="1">
      <alignment horizontal="center" vertical="center" wrapText="1"/>
    </xf>
    <xf fontId="8" fillId="0" borderId="1" numFmtId="0" xfId="1" applyFont="1" applyBorder="1" applyAlignment="1">
      <alignment horizontal="center" vertical="center" wrapText="1"/>
    </xf>
    <xf fontId="7" fillId="0" borderId="2" numFmtId="0" xfId="1" applyFont="1" applyBorder="1" applyAlignment="1">
      <alignment horizontal="center" vertical="center" wrapText="1"/>
    </xf>
    <xf fontId="8" fillId="0" borderId="2" numFmtId="0" xfId="1" applyFont="1" applyBorder="1" applyAlignment="1">
      <alignment horizontal="center" vertical="center" wrapText="1"/>
    </xf>
    <xf fontId="7" fillId="0" borderId="3" numFmtId="0" xfId="1" applyFont="1" applyBorder="1" applyAlignment="1">
      <alignment horizontal="center" vertical="center" wrapText="1"/>
    </xf>
    <xf fontId="7" fillId="0" borderId="4" numFmtId="0" xfId="1" applyFont="1" applyBorder="1" applyAlignment="1">
      <alignment horizontal="center" vertical="center" wrapText="1"/>
    </xf>
    <xf fontId="7" fillId="0" borderId="5" numFmtId="0" xfId="1" applyFont="1" applyBorder="1" applyAlignment="1">
      <alignment horizontal="center" vertical="center" wrapText="1"/>
    </xf>
    <xf fontId="7" fillId="0" borderId="6" numFmtId="2" xfId="1" applyNumberFormat="1" applyFont="1" applyBorder="1" applyAlignment="1">
      <alignment horizontal="center" vertical="center" wrapText="1"/>
    </xf>
    <xf fontId="7" fillId="0" borderId="7" numFmtId="2" xfId="1" applyNumberFormat="1" applyFont="1" applyBorder="1" applyAlignment="1">
      <alignment horizontal="center" vertical="center" wrapText="1"/>
    </xf>
    <xf fontId="7" fillId="0" borderId="8" numFmtId="2" xfId="1" applyNumberFormat="1" applyFont="1" applyBorder="1" applyAlignment="1">
      <alignment horizontal="center" vertical="center" wrapText="1"/>
    </xf>
    <xf fontId="7" fillId="0" borderId="6" numFmtId="0" xfId="1" applyFont="1" applyBorder="1" applyAlignment="1">
      <alignment horizontal="center" vertical="center" wrapText="1"/>
    </xf>
    <xf fontId="7" fillId="0" borderId="7" numFmtId="0" xfId="1" applyFont="1" applyBorder="1" applyAlignment="1">
      <alignment horizontal="center" vertical="center" wrapText="1"/>
    </xf>
    <xf fontId="7" fillId="0" borderId="9" numFmtId="0" xfId="1" applyFont="1" applyBorder="1"/>
    <xf fontId="3" fillId="0" borderId="0" numFmtId="0" xfId="1" applyFont="1" applyAlignment="1">
      <alignment horizontal="center" vertical="top"/>
    </xf>
    <xf fontId="7" fillId="0" borderId="10" numFmtId="0" xfId="1" applyFont="1" applyBorder="1" applyAlignment="1">
      <alignment horizontal="center" vertical="center" wrapText="1"/>
    </xf>
    <xf fontId="8" fillId="0" borderId="10" numFmtId="0" xfId="1" applyFont="1" applyBorder="1" applyAlignment="1">
      <alignment horizontal="center" vertical="center" wrapText="1"/>
    </xf>
    <xf fontId="7" fillId="0" borderId="11" numFmtId="0" xfId="1" applyFont="1" applyBorder="1" applyAlignment="1">
      <alignment horizontal="center" vertical="center" wrapText="1"/>
    </xf>
    <xf fontId="7" fillId="0" borderId="2" numFmtId="0" xfId="1" applyFont="1" applyBorder="1" applyAlignment="1">
      <alignment horizontal="center" vertical="top" wrapText="1"/>
    </xf>
    <xf fontId="7" fillId="0" borderId="12" numFmtId="0" xfId="1" applyFont="1" applyBorder="1" applyAlignment="1">
      <alignment horizontal="center" vertical="top" wrapText="1"/>
    </xf>
    <xf fontId="9" fillId="0" borderId="12" numFmtId="0" xfId="1" applyFont="1" applyBorder="1" applyAlignment="1">
      <alignment horizontal="center" vertical="top" wrapText="1"/>
    </xf>
    <xf fontId="9" fillId="0" borderId="12" numFmtId="0" xfId="0" applyFont="1" applyBorder="1" applyAlignment="1">
      <alignment horizontal="left" vertical="top" wrapText="1"/>
    </xf>
    <xf fontId="10" fillId="0" borderId="12" numFmtId="0" xfId="0" applyFont="1" applyBorder="1" applyAlignment="1">
      <alignment horizontal="center" vertical="top" wrapText="1"/>
    </xf>
    <xf fontId="8" fillId="0" borderId="12" numFmtId="0" xfId="0" applyFont="1" applyBorder="1" applyAlignment="1">
      <alignment horizontal="center" vertical="top"/>
    </xf>
    <xf fontId="8" fillId="0" borderId="12" numFmtId="2" xfId="0" applyNumberFormat="1" applyFont="1" applyBorder="1" applyAlignment="1">
      <alignment horizontal="center" vertical="top"/>
    </xf>
    <xf fontId="8" fillId="2" borderId="12" numFmtId="2" xfId="0" applyNumberFormat="1" applyFont="1" applyFill="1" applyBorder="1" applyAlignment="1">
      <alignment horizontal="center" vertical="top" wrapText="1"/>
    </xf>
    <xf fontId="8" fillId="3" borderId="12" numFmtId="2" xfId="0" applyNumberFormat="1" applyFont="1" applyFill="1" applyBorder="1" applyAlignment="1">
      <alignment horizontal="center" vertical="top" wrapText="1"/>
    </xf>
    <xf fontId="10" fillId="0" borderId="12" numFmtId="2" xfId="0" applyNumberFormat="1" applyFont="1" applyBorder="1" applyAlignment="1">
      <alignment horizontal="center" vertical="top" wrapText="1"/>
    </xf>
    <xf fontId="10" fillId="0" borderId="12" numFmtId="161" xfId="0" applyNumberFormat="1" applyFont="1" applyBorder="1" applyAlignment="1">
      <alignment horizontal="center" vertical="top" wrapText="1"/>
    </xf>
    <xf fontId="10" fillId="0" borderId="13" numFmtId="2" xfId="0" applyNumberFormat="1" applyFont="1" applyBorder="1" applyAlignment="1">
      <alignment horizontal="center" vertical="top" wrapText="1"/>
    </xf>
    <xf fontId="7" fillId="0" borderId="9" numFmtId="2" xfId="1" applyNumberFormat="1" applyFont="1" applyBorder="1" applyAlignment="1">
      <alignment horizontal="center" vertical="top"/>
    </xf>
    <xf fontId="7" fillId="0" borderId="12" numFmtId="0" xfId="1" applyFont="1" applyBorder="1" applyAlignment="1">
      <alignment horizontal="center" vertical="top"/>
    </xf>
    <xf fontId="8" fillId="0" borderId="12" numFmtId="0" xfId="1" applyFont="1" applyBorder="1" applyAlignment="1">
      <alignment horizontal="center" vertical="top"/>
    </xf>
    <xf fontId="7" fillId="0" borderId="12" numFmtId="4" xfId="1" applyNumberFormat="1" applyFont="1" applyBorder="1" applyAlignment="1">
      <alignment horizontal="center" vertical="top"/>
    </xf>
    <xf fontId="7" fillId="0" borderId="12" numFmtId="4" xfId="1" applyNumberFormat="1" applyFont="1" applyBorder="1" applyAlignment="1">
      <alignment horizontal="center" vertical="center"/>
    </xf>
    <xf fontId="7" fillId="0" borderId="12" numFmtId="0" xfId="1" applyFont="1" applyBorder="1" applyAlignment="1">
      <alignment horizontal="center" vertical="center" wrapText="1"/>
    </xf>
    <xf fontId="7" fillId="0" borderId="12" numFmtId="0" xfId="1" applyFont="1" applyBorder="1" applyAlignment="1">
      <alignment horizontal="center"/>
    </xf>
    <xf fontId="8" fillId="0" borderId="13" numFmtId="0" xfId="0" applyFont="1" applyBorder="1" applyAlignment="1">
      <alignment horizontal="center"/>
    </xf>
    <xf fontId="8" fillId="0" borderId="12" numFmtId="0" xfId="0" applyFont="1" applyBorder="1" applyAlignment="1">
      <alignment horizontal="center"/>
    </xf>
    <xf fontId="8" fillId="0" borderId="12" numFmtId="0" xfId="0" applyFont="1" applyBorder="1" applyAlignment="1">
      <alignment horizontal="center" vertical="center"/>
    </xf>
    <xf fontId="8" fillId="0" borderId="12" numFmtId="0" xfId="0" applyFont="1" applyBorder="1" applyAlignment="1">
      <alignment horizontal="center" vertical="center" wrapText="1"/>
    </xf>
    <xf fontId="8" fillId="0" borderId="0" numFmtId="0" xfId="0" applyFont="1" applyAlignment="1">
      <alignment horizontal="center"/>
    </xf>
    <xf fontId="7" fillId="0" borderId="14" numFmtId="4" xfId="1" applyNumberFormat="1" applyFont="1" applyBorder="1" applyAlignment="1">
      <alignment vertical="center"/>
    </xf>
    <xf fontId="11" fillId="0" borderId="12" numFmtId="0" xfId="0" applyFont="1" applyBorder="1" applyAlignment="1">
      <alignment horizontal="center" vertical="center" wrapText="1"/>
    </xf>
    <xf fontId="11" fillId="0" borderId="12" numFmtId="0" xfId="0" applyFont="1" applyBorder="1" applyAlignment="1">
      <alignment horizontal="center" wrapText="1"/>
    </xf>
    <xf fontId="7" fillId="0" borderId="0" numFmtId="0" xfId="1" applyFont="1" applyAlignment="1" applyProtection="1">
      <alignment vertical="top" wrapText="1"/>
      <protection locked="0"/>
    </xf>
    <xf fontId="7" fillId="0" borderId="0" numFmtId="0" xfId="1" applyFont="1" applyAlignment="1" applyProtection="1">
      <alignment vertical="top"/>
      <protection locked="0"/>
    </xf>
    <xf fontId="7" fillId="0" borderId="0" numFmtId="0" xfId="1" applyFont="1" applyAlignment="1" applyProtection="1">
      <alignment horizontal="center" wrapText="1"/>
      <protection locked="0"/>
    </xf>
    <xf fontId="7" fillId="0" borderId="0" numFmtId="161" xfId="1" applyNumberFormat="1" applyFont="1" applyAlignment="1" applyProtection="1">
      <alignment horizontal="center" vertical="center"/>
      <protection locked="0"/>
    </xf>
    <xf fontId="7" fillId="0" borderId="0" numFmtId="0" xfId="1" applyFont="1" applyAlignment="1" applyProtection="1">
      <alignment vertical="center"/>
      <protection locked="0"/>
    </xf>
    <xf fontId="8" fillId="0" borderId="0" numFmtId="0" xfId="0" applyFont="1"/>
    <xf fontId="4" fillId="0" borderId="0" numFmtId="0" xfId="0" applyFont="1"/>
  </cellXfs>
  <cellStyles count="4">
    <cellStyle name="Excel Built-in Normal" xfId="1"/>
    <cellStyle name="Обычный" xfId="0" builtinId="0"/>
    <cellStyle name="Обычный 2" xfId="2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media1.svg"/><Relationship Id="rId3" Type="http://schemas.openxmlformats.org/officeDocument/2006/relationships/image" Target="../media/image2.png"/><Relationship Id="rId4" Type="http://schemas.openxmlformats.org/officeDocument/2006/relationships/image" Target="../media/media2.svg"/><Relationship Id="rId5" Type="http://schemas.openxmlformats.org/officeDocument/2006/relationships/image" Target="../media/image3.png"/><Relationship Id="rId6" Type="http://schemas.openxmlformats.org/officeDocument/2006/relationships/image" Target="../media/media3.svg"/><Relationship Id="rId7" Type="http://schemas.openxmlformats.org/officeDocument/2006/relationships/image" Target="../media/image4.png"/><Relationship Id="rId8" Type="http://schemas.openxmlformats.org/officeDocument/2006/relationships/image" Target="../media/media4.sv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38098</xdr:colOff>
      <xdr:row>7</xdr:row>
      <xdr:rowOff>1592578</xdr:rowOff>
    </xdr:from>
    <xdr:to>
      <xdr:col>15</xdr:col>
      <xdr:colOff>1569716</xdr:colOff>
      <xdr:row>7</xdr:row>
      <xdr:rowOff>1935478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14016036" y="5021578"/>
          <a:ext cx="1531619" cy="3428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14</xdr:col>
      <xdr:colOff>45720</xdr:colOff>
      <xdr:row>7</xdr:row>
      <xdr:rowOff>922018</xdr:rowOff>
    </xdr:from>
    <xdr:to>
      <xdr:col>14</xdr:col>
      <xdr:colOff>1021078</xdr:colOff>
      <xdr:row>7</xdr:row>
      <xdr:rowOff>1356358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12713969" y="4351018"/>
          <a:ext cx="975358" cy="434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16</xdr:col>
      <xdr:colOff>281938</xdr:colOff>
      <xdr:row>7</xdr:row>
      <xdr:rowOff>1402078</xdr:rowOff>
    </xdr:from>
    <xdr:to>
      <xdr:col>16</xdr:col>
      <xdr:colOff>426718</xdr:colOff>
      <xdr:row>7</xdr:row>
      <xdr:rowOff>1623058</xdr:rowOff>
    </xdr:to>
    <xdr:pic>
      <xdr:nvPicPr>
        <xdr:cNvPr id="4" name="Picture 6"/>
        <xdr:cNvPicPr>
          <a:picLocks noChangeAspect="1" noChangeArrowheads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>
          <a:off x="15926750" y="4831078"/>
          <a:ext cx="144779" cy="2209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15</xdr:col>
      <xdr:colOff>38098</xdr:colOff>
      <xdr:row>7</xdr:row>
      <xdr:rowOff>1592578</xdr:rowOff>
    </xdr:from>
    <xdr:to>
      <xdr:col>15</xdr:col>
      <xdr:colOff>1569716</xdr:colOff>
      <xdr:row>7</xdr:row>
      <xdr:rowOff>1935478</xdr:rowOff>
    </xdr:to>
    <xdr:pic>
      <xdr:nvPicPr>
        <xdr:cNvPr id="5" name="Picture 1"/>
        <xdr:cNvPicPr>
          <a:picLocks noChangeAspect="1" noChangeArrowheads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14016036" y="5021578"/>
          <a:ext cx="1531619" cy="3428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14</xdr:col>
      <xdr:colOff>45720</xdr:colOff>
      <xdr:row>7</xdr:row>
      <xdr:rowOff>922018</xdr:rowOff>
    </xdr:from>
    <xdr:to>
      <xdr:col>14</xdr:col>
      <xdr:colOff>1021078</xdr:colOff>
      <xdr:row>7</xdr:row>
      <xdr:rowOff>1356358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12713969" y="4351018"/>
          <a:ext cx="975358" cy="434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16</xdr:col>
      <xdr:colOff>598513</xdr:colOff>
      <xdr:row>7</xdr:row>
      <xdr:rowOff>2428875</xdr:rowOff>
    </xdr:from>
    <xdr:to>
      <xdr:col>16</xdr:col>
      <xdr:colOff>2046314</xdr:colOff>
      <xdr:row>7</xdr:row>
      <xdr:rowOff>2825748</xdr:rowOff>
    </xdr:to>
    <xdr:pic>
      <xdr:nvPicPr>
        <xdr:cNvPr id="7" name="Picture 5"/>
        <xdr:cNvPicPr>
          <a:picLocks noChangeAspect="1" noChangeArrowheads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 bwMode="auto">
        <a:xfrm>
          <a:off x="16243327" y="5857875"/>
          <a:ext cx="1447799" cy="3968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16</xdr:col>
      <xdr:colOff>313688</xdr:colOff>
      <xdr:row>7</xdr:row>
      <xdr:rowOff>1481454</xdr:rowOff>
    </xdr:from>
    <xdr:to>
      <xdr:col>16</xdr:col>
      <xdr:colOff>458469</xdr:colOff>
      <xdr:row>7</xdr:row>
      <xdr:rowOff>1702432</xdr:rowOff>
    </xdr:to>
    <xdr:pic>
      <xdr:nvPicPr>
        <xdr:cNvPr id="8" name="Picture 6"/>
        <xdr:cNvPicPr>
          <a:picLocks noChangeAspect="1" noChangeArrowheads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>
          <a:off x="15958501" y="4910454"/>
          <a:ext cx="144779" cy="220979"/>
        </a:xfrm>
        <a:prstGeom prst="rect">
          <a:avLst/>
        </a:prstGeom>
        <a:noFill/>
        <a:ln>
          <a:noFill/>
          <a:miter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C10" zoomScale="100" workbookViewId="0">
      <selection activeCell="L12" activeCellId="0" sqref="L12"/>
    </sheetView>
  </sheetViews>
  <sheetFormatPr defaultColWidth="9.140625" defaultRowHeight="14.25"/>
  <cols>
    <col customWidth="1" min="1" max="1" style="1" width="6.5703125"/>
    <col customWidth="1" min="2" max="2" style="2" width="21.8515625"/>
    <col customWidth="1" min="3" max="3" style="1" width="43.8515625"/>
    <col customWidth="1" min="4" max="4" style="3" width="15.140625"/>
    <col customWidth="1" min="5" max="5" style="3" width="8.7109375"/>
    <col customWidth="1" hidden="1" min="6" max="6" style="3" width="8.7109375"/>
    <col customWidth="1" min="7" max="7" style="3" width="26.7109375"/>
    <col customWidth="1" min="8" max="8" style="3" width="1.8515625"/>
    <col customWidth="1" min="9" max="9" style="3" width="23.8515625"/>
    <col customWidth="1" hidden="1" min="10" max="10" style="3" width="17.28515625"/>
    <col customWidth="1" min="11" max="11" style="3" width="27.421875"/>
    <col customWidth="1" min="12" max="12" style="3" width="17.28515625"/>
    <col customWidth="1" min="13" max="13" style="3" width="17.42578125"/>
    <col customWidth="1" min="14" max="14" style="1" width="22.7109375"/>
    <col customWidth="1" min="15" max="15" style="1" width="19.5703125"/>
    <col customWidth="1" min="16" max="16" style="1" width="25"/>
    <col customWidth="1" min="17" max="17" style="1" width="33.28515625"/>
    <col customWidth="1" min="18" max="18" style="1" width="15.85546875"/>
    <col customWidth="1" min="19" max="19" style="1" width="22"/>
    <col customWidth="1" min="20" max="20" style="1" width="22.42578125"/>
    <col customWidth="1" min="21" max="21" style="1" width="18.5703125"/>
    <col min="22" max="22" style="1" width="9.140625"/>
    <col customWidth="1" min="23" max="24" style="1" width="10.85546875"/>
    <col min="25" max="262" style="1" width="9.140625"/>
    <col customWidth="1" min="263" max="263" style="1" width="6.5703125"/>
    <col customWidth="1" min="264" max="264" style="1" width="60.42578125"/>
    <col customWidth="1" min="265" max="265" style="1" width="8.5703125"/>
    <col customWidth="1" min="266" max="266" style="1" width="8.7109375"/>
    <col customWidth="1" min="267" max="267" style="1" width="16.7109375"/>
    <col customWidth="1" min="268" max="268" style="1" width="17.28515625"/>
    <col customWidth="1" min="269" max="269" style="1" width="17.42578125"/>
    <col customWidth="1" min="270" max="270" style="1" width="22.7109375"/>
    <col customWidth="1" min="271" max="271" style="1" width="19.5703125"/>
    <col customWidth="1" min="272" max="272" style="1" width="25"/>
    <col customWidth="1" min="273" max="273" style="1" width="32.7109375"/>
    <col customWidth="1" min="274" max="274" style="1" width="15.85546875"/>
    <col customWidth="1" min="275" max="275" style="1" width="22"/>
    <col customWidth="1" min="276" max="276" style="1" width="20"/>
    <col min="277" max="278" style="1" width="9.140625"/>
    <col customWidth="1" min="279" max="280" style="1" width="10.85546875"/>
    <col min="281" max="518" style="1" width="9.140625"/>
    <col customWidth="1" min="519" max="519" style="1" width="6.5703125"/>
    <col customWidth="1" min="520" max="520" style="1" width="60.42578125"/>
    <col customWidth="1" min="521" max="521" style="1" width="8.5703125"/>
    <col customWidth="1" min="522" max="522" style="1" width="8.7109375"/>
    <col customWidth="1" min="523" max="523" style="1" width="16.7109375"/>
    <col customWidth="1" min="524" max="524" style="1" width="17.28515625"/>
    <col customWidth="1" min="525" max="525" style="1" width="17.42578125"/>
    <col customWidth="1" min="526" max="526" style="1" width="22.7109375"/>
    <col customWidth="1" min="527" max="527" style="1" width="19.5703125"/>
    <col customWidth="1" min="528" max="528" style="1" width="25"/>
    <col customWidth="1" min="529" max="529" style="1" width="32.7109375"/>
    <col customWidth="1" min="530" max="530" style="1" width="15.85546875"/>
    <col customWidth="1" min="531" max="531" style="1" width="22"/>
    <col customWidth="1" min="532" max="532" style="1" width="20"/>
    <col min="533" max="534" style="1" width="9.140625"/>
    <col customWidth="1" min="535" max="536" style="1" width="10.85546875"/>
    <col min="537" max="774" style="1" width="9.140625"/>
    <col customWidth="1" min="775" max="775" style="1" width="6.5703125"/>
    <col customWidth="1" min="776" max="776" style="1" width="60.42578125"/>
    <col customWidth="1" min="777" max="777" style="1" width="8.5703125"/>
    <col customWidth="1" min="778" max="778" style="1" width="8.7109375"/>
    <col customWidth="1" min="779" max="779" style="1" width="16.7109375"/>
    <col customWidth="1" min="780" max="780" style="1" width="17.28515625"/>
    <col customWidth="1" min="781" max="781" style="1" width="17.42578125"/>
    <col customWidth="1" min="782" max="782" style="1" width="22.7109375"/>
    <col customWidth="1" min="783" max="783" style="1" width="19.5703125"/>
    <col customWidth="1" min="784" max="784" style="1" width="25"/>
    <col customWidth="1" min="785" max="785" style="1" width="32.7109375"/>
    <col customWidth="1" min="786" max="786" style="1" width="15.85546875"/>
    <col customWidth="1" min="787" max="787" style="1" width="22"/>
    <col customWidth="1" min="788" max="788" style="1" width="20"/>
    <col min="789" max="790" style="1" width="9.140625"/>
    <col customWidth="1" min="791" max="792" style="1" width="10.85546875"/>
    <col min="793" max="1030" style="1" width="9.140625"/>
    <col customWidth="1" min="1031" max="1031" style="1" width="6.5703125"/>
    <col customWidth="1" min="1032" max="1032" style="1" width="60.42578125"/>
    <col customWidth="1" min="1033" max="1033" style="1" width="8.5703125"/>
    <col customWidth="1" min="1034" max="1034" style="1" width="8.7109375"/>
    <col customWidth="1" min="1035" max="1035" style="1" width="16.7109375"/>
    <col customWidth="1" min="1036" max="1036" style="1" width="17.28515625"/>
    <col customWidth="1" min="1037" max="1037" style="1" width="17.42578125"/>
    <col customWidth="1" min="1038" max="1038" style="1" width="22.7109375"/>
    <col customWidth="1" min="1039" max="1039" style="1" width="19.5703125"/>
    <col customWidth="1" min="1040" max="1040" style="1" width="25"/>
    <col customWidth="1" min="1041" max="1041" style="1" width="32.7109375"/>
    <col customWidth="1" min="1042" max="1042" style="1" width="15.85546875"/>
    <col customWidth="1" min="1043" max="1043" style="1" width="22"/>
    <col customWidth="1" min="1044" max="1044" style="1" width="20"/>
    <col min="1045" max="1046" style="1" width="9.140625"/>
    <col customWidth="1" min="1047" max="1048" style="1" width="10.85546875"/>
    <col min="1049" max="1286" style="1" width="9.140625"/>
    <col customWidth="1" min="1287" max="1287" style="1" width="6.5703125"/>
    <col customWidth="1" min="1288" max="1288" style="1" width="60.42578125"/>
    <col customWidth="1" min="1289" max="1289" style="1" width="8.5703125"/>
    <col customWidth="1" min="1290" max="1290" style="1" width="8.7109375"/>
    <col customWidth="1" min="1291" max="1291" style="1" width="16.7109375"/>
    <col customWidth="1" min="1292" max="1292" style="1" width="17.28515625"/>
    <col customWidth="1" min="1293" max="1293" style="1" width="17.42578125"/>
    <col customWidth="1" min="1294" max="1294" style="1" width="22.7109375"/>
    <col customWidth="1" min="1295" max="1295" style="1" width="19.5703125"/>
    <col customWidth="1" min="1296" max="1296" style="1" width="25"/>
    <col customWidth="1" min="1297" max="1297" style="1" width="32.7109375"/>
    <col customWidth="1" min="1298" max="1298" style="1" width="15.85546875"/>
    <col customWidth="1" min="1299" max="1299" style="1" width="22"/>
    <col customWidth="1" min="1300" max="1300" style="1" width="20"/>
    <col min="1301" max="1302" style="1" width="9.140625"/>
    <col customWidth="1" min="1303" max="1304" style="1" width="10.85546875"/>
    <col min="1305" max="1542" style="1" width="9.140625"/>
    <col customWidth="1" min="1543" max="1543" style="1" width="6.5703125"/>
    <col customWidth="1" min="1544" max="1544" style="1" width="60.42578125"/>
    <col customWidth="1" min="1545" max="1545" style="1" width="8.5703125"/>
    <col customWidth="1" min="1546" max="1546" style="1" width="8.7109375"/>
    <col customWidth="1" min="1547" max="1547" style="1" width="16.7109375"/>
    <col customWidth="1" min="1548" max="1548" style="1" width="17.28515625"/>
    <col customWidth="1" min="1549" max="1549" style="1" width="17.42578125"/>
    <col customWidth="1" min="1550" max="1550" style="1" width="22.7109375"/>
    <col customWidth="1" min="1551" max="1551" style="1" width="19.5703125"/>
    <col customWidth="1" min="1552" max="1552" style="1" width="25"/>
    <col customWidth="1" min="1553" max="1553" style="1" width="32.7109375"/>
    <col customWidth="1" min="1554" max="1554" style="1" width="15.85546875"/>
    <col customWidth="1" min="1555" max="1555" style="1" width="22"/>
    <col customWidth="1" min="1556" max="1556" style="1" width="20"/>
    <col min="1557" max="1558" style="1" width="9.140625"/>
    <col customWidth="1" min="1559" max="1560" style="1" width="10.85546875"/>
    <col min="1561" max="1798" style="1" width="9.140625"/>
    <col customWidth="1" min="1799" max="1799" style="1" width="6.5703125"/>
    <col customWidth="1" min="1800" max="1800" style="1" width="60.42578125"/>
    <col customWidth="1" min="1801" max="1801" style="1" width="8.5703125"/>
    <col customWidth="1" min="1802" max="1802" style="1" width="8.7109375"/>
    <col customWidth="1" min="1803" max="1803" style="1" width="16.7109375"/>
    <col customWidth="1" min="1804" max="1804" style="1" width="17.28515625"/>
    <col customWidth="1" min="1805" max="1805" style="1" width="17.42578125"/>
    <col customWidth="1" min="1806" max="1806" style="1" width="22.7109375"/>
    <col customWidth="1" min="1807" max="1807" style="1" width="19.5703125"/>
    <col customWidth="1" min="1808" max="1808" style="1" width="25"/>
    <col customWidth="1" min="1809" max="1809" style="1" width="32.7109375"/>
    <col customWidth="1" min="1810" max="1810" style="1" width="15.85546875"/>
    <col customWidth="1" min="1811" max="1811" style="1" width="22"/>
    <col customWidth="1" min="1812" max="1812" style="1" width="20"/>
    <col min="1813" max="1814" style="1" width="9.140625"/>
    <col customWidth="1" min="1815" max="1816" style="1" width="10.85546875"/>
    <col min="1817" max="2054" style="1" width="9.140625"/>
    <col customWidth="1" min="2055" max="2055" style="1" width="6.5703125"/>
    <col customWidth="1" min="2056" max="2056" style="1" width="60.42578125"/>
    <col customWidth="1" min="2057" max="2057" style="1" width="8.5703125"/>
    <col customWidth="1" min="2058" max="2058" style="1" width="8.7109375"/>
    <col customWidth="1" min="2059" max="2059" style="1" width="16.7109375"/>
    <col customWidth="1" min="2060" max="2060" style="1" width="17.28515625"/>
    <col customWidth="1" min="2061" max="2061" style="1" width="17.42578125"/>
    <col customWidth="1" min="2062" max="2062" style="1" width="22.7109375"/>
    <col customWidth="1" min="2063" max="2063" style="1" width="19.5703125"/>
    <col customWidth="1" min="2064" max="2064" style="1" width="25"/>
    <col customWidth="1" min="2065" max="2065" style="1" width="32.7109375"/>
    <col customWidth="1" min="2066" max="2066" style="1" width="15.85546875"/>
    <col customWidth="1" min="2067" max="2067" style="1" width="22"/>
    <col customWidth="1" min="2068" max="2068" style="1" width="20"/>
    <col min="2069" max="2070" style="1" width="9.140625"/>
    <col customWidth="1" min="2071" max="2072" style="1" width="10.85546875"/>
    <col min="2073" max="2310" style="1" width="9.140625"/>
    <col customWidth="1" min="2311" max="2311" style="1" width="6.5703125"/>
    <col customWidth="1" min="2312" max="2312" style="1" width="60.42578125"/>
    <col customWidth="1" min="2313" max="2313" style="1" width="8.5703125"/>
    <col customWidth="1" min="2314" max="2314" style="1" width="8.7109375"/>
    <col customWidth="1" min="2315" max="2315" style="1" width="16.7109375"/>
    <col customWidth="1" min="2316" max="2316" style="1" width="17.28515625"/>
    <col customWidth="1" min="2317" max="2317" style="1" width="17.42578125"/>
    <col customWidth="1" min="2318" max="2318" style="1" width="22.7109375"/>
    <col customWidth="1" min="2319" max="2319" style="1" width="19.5703125"/>
    <col customWidth="1" min="2320" max="2320" style="1" width="25"/>
    <col customWidth="1" min="2321" max="2321" style="1" width="32.7109375"/>
    <col customWidth="1" min="2322" max="2322" style="1" width="15.85546875"/>
    <col customWidth="1" min="2323" max="2323" style="1" width="22"/>
    <col customWidth="1" min="2324" max="2324" style="1" width="20"/>
    <col min="2325" max="2326" style="1" width="9.140625"/>
    <col customWidth="1" min="2327" max="2328" style="1" width="10.85546875"/>
    <col min="2329" max="2566" style="1" width="9.140625"/>
    <col customWidth="1" min="2567" max="2567" style="1" width="6.5703125"/>
    <col customWidth="1" min="2568" max="2568" style="1" width="60.42578125"/>
    <col customWidth="1" min="2569" max="2569" style="1" width="8.5703125"/>
    <col customWidth="1" min="2570" max="2570" style="1" width="8.7109375"/>
    <col customWidth="1" min="2571" max="2571" style="1" width="16.7109375"/>
    <col customWidth="1" min="2572" max="2572" style="1" width="17.28515625"/>
    <col customWidth="1" min="2573" max="2573" style="1" width="17.42578125"/>
    <col customWidth="1" min="2574" max="2574" style="1" width="22.7109375"/>
    <col customWidth="1" min="2575" max="2575" style="1" width="19.5703125"/>
    <col customWidth="1" min="2576" max="2576" style="1" width="25"/>
    <col customWidth="1" min="2577" max="2577" style="1" width="32.7109375"/>
    <col customWidth="1" min="2578" max="2578" style="1" width="15.85546875"/>
    <col customWidth="1" min="2579" max="2579" style="1" width="22"/>
    <col customWidth="1" min="2580" max="2580" style="1" width="20"/>
    <col min="2581" max="2582" style="1" width="9.140625"/>
    <col customWidth="1" min="2583" max="2584" style="1" width="10.85546875"/>
    <col min="2585" max="2822" style="1" width="9.140625"/>
    <col customWidth="1" min="2823" max="2823" style="1" width="6.5703125"/>
    <col customWidth="1" min="2824" max="2824" style="1" width="60.42578125"/>
    <col customWidth="1" min="2825" max="2825" style="1" width="8.5703125"/>
    <col customWidth="1" min="2826" max="2826" style="1" width="8.7109375"/>
    <col customWidth="1" min="2827" max="2827" style="1" width="16.7109375"/>
    <col customWidth="1" min="2828" max="2828" style="1" width="17.28515625"/>
    <col customWidth="1" min="2829" max="2829" style="1" width="17.42578125"/>
    <col customWidth="1" min="2830" max="2830" style="1" width="22.7109375"/>
    <col customWidth="1" min="2831" max="2831" style="1" width="19.5703125"/>
    <col customWidth="1" min="2832" max="2832" style="1" width="25"/>
    <col customWidth="1" min="2833" max="2833" style="1" width="32.7109375"/>
    <col customWidth="1" min="2834" max="2834" style="1" width="15.85546875"/>
    <col customWidth="1" min="2835" max="2835" style="1" width="22"/>
    <col customWidth="1" min="2836" max="2836" style="1" width="20"/>
    <col min="2837" max="2838" style="1" width="9.140625"/>
    <col customWidth="1" min="2839" max="2840" style="1" width="10.85546875"/>
    <col min="2841" max="3078" style="1" width="9.140625"/>
    <col customWidth="1" min="3079" max="3079" style="1" width="6.5703125"/>
    <col customWidth="1" min="3080" max="3080" style="1" width="60.42578125"/>
    <col customWidth="1" min="3081" max="3081" style="1" width="8.5703125"/>
    <col customWidth="1" min="3082" max="3082" style="1" width="8.7109375"/>
    <col customWidth="1" min="3083" max="3083" style="1" width="16.7109375"/>
    <col customWidth="1" min="3084" max="3084" style="1" width="17.28515625"/>
    <col customWidth="1" min="3085" max="3085" style="1" width="17.42578125"/>
    <col customWidth="1" min="3086" max="3086" style="1" width="22.7109375"/>
    <col customWidth="1" min="3087" max="3087" style="1" width="19.5703125"/>
    <col customWidth="1" min="3088" max="3088" style="1" width="25"/>
    <col customWidth="1" min="3089" max="3089" style="1" width="32.7109375"/>
    <col customWidth="1" min="3090" max="3090" style="1" width="15.85546875"/>
    <col customWidth="1" min="3091" max="3091" style="1" width="22"/>
    <col customWidth="1" min="3092" max="3092" style="1" width="20"/>
    <col min="3093" max="3094" style="1" width="9.140625"/>
    <col customWidth="1" min="3095" max="3096" style="1" width="10.85546875"/>
    <col min="3097" max="3334" style="1" width="9.140625"/>
    <col customWidth="1" min="3335" max="3335" style="1" width="6.5703125"/>
    <col customWidth="1" min="3336" max="3336" style="1" width="60.42578125"/>
    <col customWidth="1" min="3337" max="3337" style="1" width="8.5703125"/>
    <col customWidth="1" min="3338" max="3338" style="1" width="8.7109375"/>
    <col customWidth="1" min="3339" max="3339" style="1" width="16.7109375"/>
    <col customWidth="1" min="3340" max="3340" style="1" width="17.28515625"/>
    <col customWidth="1" min="3341" max="3341" style="1" width="17.42578125"/>
    <col customWidth="1" min="3342" max="3342" style="1" width="22.7109375"/>
    <col customWidth="1" min="3343" max="3343" style="1" width="19.5703125"/>
    <col customWidth="1" min="3344" max="3344" style="1" width="25"/>
    <col customWidth="1" min="3345" max="3345" style="1" width="32.7109375"/>
    <col customWidth="1" min="3346" max="3346" style="1" width="15.85546875"/>
    <col customWidth="1" min="3347" max="3347" style="1" width="22"/>
    <col customWidth="1" min="3348" max="3348" style="1" width="20"/>
    <col min="3349" max="3350" style="1" width="9.140625"/>
    <col customWidth="1" min="3351" max="3352" style="1" width="10.85546875"/>
    <col min="3353" max="3590" style="1" width="9.140625"/>
    <col customWidth="1" min="3591" max="3591" style="1" width="6.5703125"/>
    <col customWidth="1" min="3592" max="3592" style="1" width="60.42578125"/>
    <col customWidth="1" min="3593" max="3593" style="1" width="8.5703125"/>
    <col customWidth="1" min="3594" max="3594" style="1" width="8.7109375"/>
    <col customWidth="1" min="3595" max="3595" style="1" width="16.7109375"/>
    <col customWidth="1" min="3596" max="3596" style="1" width="17.28515625"/>
    <col customWidth="1" min="3597" max="3597" style="1" width="17.42578125"/>
    <col customWidth="1" min="3598" max="3598" style="1" width="22.7109375"/>
    <col customWidth="1" min="3599" max="3599" style="1" width="19.5703125"/>
    <col customWidth="1" min="3600" max="3600" style="1" width="25"/>
    <col customWidth="1" min="3601" max="3601" style="1" width="32.7109375"/>
    <col customWidth="1" min="3602" max="3602" style="1" width="15.85546875"/>
    <col customWidth="1" min="3603" max="3603" style="1" width="22"/>
    <col customWidth="1" min="3604" max="3604" style="1" width="20"/>
    <col min="3605" max="3606" style="1" width="9.140625"/>
    <col customWidth="1" min="3607" max="3608" style="1" width="10.85546875"/>
    <col min="3609" max="3846" style="1" width="9.140625"/>
    <col customWidth="1" min="3847" max="3847" style="1" width="6.5703125"/>
    <col customWidth="1" min="3848" max="3848" style="1" width="60.42578125"/>
    <col customWidth="1" min="3849" max="3849" style="1" width="8.5703125"/>
    <col customWidth="1" min="3850" max="3850" style="1" width="8.7109375"/>
    <col customWidth="1" min="3851" max="3851" style="1" width="16.7109375"/>
    <col customWidth="1" min="3852" max="3852" style="1" width="17.28515625"/>
    <col customWidth="1" min="3853" max="3853" style="1" width="17.42578125"/>
    <col customWidth="1" min="3854" max="3854" style="1" width="22.7109375"/>
    <col customWidth="1" min="3855" max="3855" style="1" width="19.5703125"/>
    <col customWidth="1" min="3856" max="3856" style="1" width="25"/>
    <col customWidth="1" min="3857" max="3857" style="1" width="32.7109375"/>
    <col customWidth="1" min="3858" max="3858" style="1" width="15.85546875"/>
    <col customWidth="1" min="3859" max="3859" style="1" width="22"/>
    <col customWidth="1" min="3860" max="3860" style="1" width="20"/>
    <col min="3861" max="3862" style="1" width="9.140625"/>
    <col customWidth="1" min="3863" max="3864" style="1" width="10.85546875"/>
    <col min="3865" max="4102" style="1" width="9.140625"/>
    <col customWidth="1" min="4103" max="4103" style="1" width="6.5703125"/>
    <col customWidth="1" min="4104" max="4104" style="1" width="60.42578125"/>
    <col customWidth="1" min="4105" max="4105" style="1" width="8.5703125"/>
    <col customWidth="1" min="4106" max="4106" style="1" width="8.7109375"/>
    <col customWidth="1" min="4107" max="4107" style="1" width="16.7109375"/>
    <col customWidth="1" min="4108" max="4108" style="1" width="17.28515625"/>
    <col customWidth="1" min="4109" max="4109" style="1" width="17.42578125"/>
    <col customWidth="1" min="4110" max="4110" style="1" width="22.7109375"/>
    <col customWidth="1" min="4111" max="4111" style="1" width="19.5703125"/>
    <col customWidth="1" min="4112" max="4112" style="1" width="25"/>
    <col customWidth="1" min="4113" max="4113" style="1" width="32.7109375"/>
    <col customWidth="1" min="4114" max="4114" style="1" width="15.85546875"/>
    <col customWidth="1" min="4115" max="4115" style="1" width="22"/>
    <col customWidth="1" min="4116" max="4116" style="1" width="20"/>
    <col min="4117" max="4118" style="1" width="9.140625"/>
    <col customWidth="1" min="4119" max="4120" style="1" width="10.85546875"/>
    <col min="4121" max="4358" style="1" width="9.140625"/>
    <col customWidth="1" min="4359" max="4359" style="1" width="6.5703125"/>
    <col customWidth="1" min="4360" max="4360" style="1" width="60.42578125"/>
    <col customWidth="1" min="4361" max="4361" style="1" width="8.5703125"/>
    <col customWidth="1" min="4362" max="4362" style="1" width="8.7109375"/>
    <col customWidth="1" min="4363" max="4363" style="1" width="16.7109375"/>
    <col customWidth="1" min="4364" max="4364" style="1" width="17.28515625"/>
    <col customWidth="1" min="4365" max="4365" style="1" width="17.42578125"/>
    <col customWidth="1" min="4366" max="4366" style="1" width="22.7109375"/>
    <col customWidth="1" min="4367" max="4367" style="1" width="19.5703125"/>
    <col customWidth="1" min="4368" max="4368" style="1" width="25"/>
    <col customWidth="1" min="4369" max="4369" style="1" width="32.7109375"/>
    <col customWidth="1" min="4370" max="4370" style="1" width="15.85546875"/>
    <col customWidth="1" min="4371" max="4371" style="1" width="22"/>
    <col customWidth="1" min="4372" max="4372" style="1" width="20"/>
    <col min="4373" max="4374" style="1" width="9.140625"/>
    <col customWidth="1" min="4375" max="4376" style="1" width="10.85546875"/>
    <col min="4377" max="4614" style="1" width="9.140625"/>
    <col customWidth="1" min="4615" max="4615" style="1" width="6.5703125"/>
    <col customWidth="1" min="4616" max="4616" style="1" width="60.42578125"/>
    <col customWidth="1" min="4617" max="4617" style="1" width="8.5703125"/>
    <col customWidth="1" min="4618" max="4618" style="1" width="8.7109375"/>
    <col customWidth="1" min="4619" max="4619" style="1" width="16.7109375"/>
    <col customWidth="1" min="4620" max="4620" style="1" width="17.28515625"/>
    <col customWidth="1" min="4621" max="4621" style="1" width="17.42578125"/>
    <col customWidth="1" min="4622" max="4622" style="1" width="22.7109375"/>
    <col customWidth="1" min="4623" max="4623" style="1" width="19.5703125"/>
    <col customWidth="1" min="4624" max="4624" style="1" width="25"/>
    <col customWidth="1" min="4625" max="4625" style="1" width="32.7109375"/>
    <col customWidth="1" min="4626" max="4626" style="1" width="15.85546875"/>
    <col customWidth="1" min="4627" max="4627" style="1" width="22"/>
    <col customWidth="1" min="4628" max="4628" style="1" width="20"/>
    <col min="4629" max="4630" style="1" width="9.140625"/>
    <col customWidth="1" min="4631" max="4632" style="1" width="10.85546875"/>
    <col min="4633" max="4870" style="1" width="9.140625"/>
    <col customWidth="1" min="4871" max="4871" style="1" width="6.5703125"/>
    <col customWidth="1" min="4872" max="4872" style="1" width="60.42578125"/>
    <col customWidth="1" min="4873" max="4873" style="1" width="8.5703125"/>
    <col customWidth="1" min="4874" max="4874" style="1" width="8.7109375"/>
    <col customWidth="1" min="4875" max="4875" style="1" width="16.7109375"/>
    <col customWidth="1" min="4876" max="4876" style="1" width="17.28515625"/>
    <col customWidth="1" min="4877" max="4877" style="1" width="17.42578125"/>
    <col customWidth="1" min="4878" max="4878" style="1" width="22.7109375"/>
    <col customWidth="1" min="4879" max="4879" style="1" width="19.5703125"/>
    <col customWidth="1" min="4880" max="4880" style="1" width="25"/>
    <col customWidth="1" min="4881" max="4881" style="1" width="32.7109375"/>
    <col customWidth="1" min="4882" max="4882" style="1" width="15.85546875"/>
    <col customWidth="1" min="4883" max="4883" style="1" width="22"/>
    <col customWidth="1" min="4884" max="4884" style="1" width="20"/>
    <col min="4885" max="4886" style="1" width="9.140625"/>
    <col customWidth="1" min="4887" max="4888" style="1" width="10.85546875"/>
    <col min="4889" max="5126" style="1" width="9.140625"/>
    <col customWidth="1" min="5127" max="5127" style="1" width="6.5703125"/>
    <col customWidth="1" min="5128" max="5128" style="1" width="60.42578125"/>
    <col customWidth="1" min="5129" max="5129" style="1" width="8.5703125"/>
    <col customWidth="1" min="5130" max="5130" style="1" width="8.7109375"/>
    <col customWidth="1" min="5131" max="5131" style="1" width="16.7109375"/>
    <col customWidth="1" min="5132" max="5132" style="1" width="17.28515625"/>
    <col customWidth="1" min="5133" max="5133" style="1" width="17.42578125"/>
    <col customWidth="1" min="5134" max="5134" style="1" width="22.7109375"/>
    <col customWidth="1" min="5135" max="5135" style="1" width="19.5703125"/>
    <col customWidth="1" min="5136" max="5136" style="1" width="25"/>
    <col customWidth="1" min="5137" max="5137" style="1" width="32.7109375"/>
    <col customWidth="1" min="5138" max="5138" style="1" width="15.85546875"/>
    <col customWidth="1" min="5139" max="5139" style="1" width="22"/>
    <col customWidth="1" min="5140" max="5140" style="1" width="20"/>
    <col min="5141" max="5142" style="1" width="9.140625"/>
    <col customWidth="1" min="5143" max="5144" style="1" width="10.85546875"/>
    <col min="5145" max="5382" style="1" width="9.140625"/>
    <col customWidth="1" min="5383" max="5383" style="1" width="6.5703125"/>
    <col customWidth="1" min="5384" max="5384" style="1" width="60.42578125"/>
    <col customWidth="1" min="5385" max="5385" style="1" width="8.5703125"/>
    <col customWidth="1" min="5386" max="5386" style="1" width="8.7109375"/>
    <col customWidth="1" min="5387" max="5387" style="1" width="16.7109375"/>
    <col customWidth="1" min="5388" max="5388" style="1" width="17.28515625"/>
    <col customWidth="1" min="5389" max="5389" style="1" width="17.42578125"/>
    <col customWidth="1" min="5390" max="5390" style="1" width="22.7109375"/>
    <col customWidth="1" min="5391" max="5391" style="1" width="19.5703125"/>
    <col customWidth="1" min="5392" max="5392" style="1" width="25"/>
    <col customWidth="1" min="5393" max="5393" style="1" width="32.7109375"/>
    <col customWidth="1" min="5394" max="5394" style="1" width="15.85546875"/>
    <col customWidth="1" min="5395" max="5395" style="1" width="22"/>
    <col customWidth="1" min="5396" max="5396" style="1" width="20"/>
    <col min="5397" max="5398" style="1" width="9.140625"/>
    <col customWidth="1" min="5399" max="5400" style="1" width="10.85546875"/>
    <col min="5401" max="5638" style="1" width="9.140625"/>
    <col customWidth="1" min="5639" max="5639" style="1" width="6.5703125"/>
    <col customWidth="1" min="5640" max="5640" style="1" width="60.42578125"/>
    <col customWidth="1" min="5641" max="5641" style="1" width="8.5703125"/>
    <col customWidth="1" min="5642" max="5642" style="1" width="8.7109375"/>
    <col customWidth="1" min="5643" max="5643" style="1" width="16.7109375"/>
    <col customWidth="1" min="5644" max="5644" style="1" width="17.28515625"/>
    <col customWidth="1" min="5645" max="5645" style="1" width="17.42578125"/>
    <col customWidth="1" min="5646" max="5646" style="1" width="22.7109375"/>
    <col customWidth="1" min="5647" max="5647" style="1" width="19.5703125"/>
    <col customWidth="1" min="5648" max="5648" style="1" width="25"/>
    <col customWidth="1" min="5649" max="5649" style="1" width="32.7109375"/>
    <col customWidth="1" min="5650" max="5650" style="1" width="15.85546875"/>
    <col customWidth="1" min="5651" max="5651" style="1" width="22"/>
    <col customWidth="1" min="5652" max="5652" style="1" width="20"/>
    <col min="5653" max="5654" style="1" width="9.140625"/>
    <col customWidth="1" min="5655" max="5656" style="1" width="10.85546875"/>
    <col min="5657" max="5894" style="1" width="9.140625"/>
    <col customWidth="1" min="5895" max="5895" style="1" width="6.5703125"/>
    <col customWidth="1" min="5896" max="5896" style="1" width="60.42578125"/>
    <col customWidth="1" min="5897" max="5897" style="1" width="8.5703125"/>
    <col customWidth="1" min="5898" max="5898" style="1" width="8.7109375"/>
    <col customWidth="1" min="5899" max="5899" style="1" width="16.7109375"/>
    <col customWidth="1" min="5900" max="5900" style="1" width="17.28515625"/>
    <col customWidth="1" min="5901" max="5901" style="1" width="17.42578125"/>
    <col customWidth="1" min="5902" max="5902" style="1" width="22.7109375"/>
    <col customWidth="1" min="5903" max="5903" style="1" width="19.5703125"/>
    <col customWidth="1" min="5904" max="5904" style="1" width="25"/>
    <col customWidth="1" min="5905" max="5905" style="1" width="32.7109375"/>
    <col customWidth="1" min="5906" max="5906" style="1" width="15.85546875"/>
    <col customWidth="1" min="5907" max="5907" style="1" width="22"/>
    <col customWidth="1" min="5908" max="5908" style="1" width="20"/>
    <col min="5909" max="5910" style="1" width="9.140625"/>
    <col customWidth="1" min="5911" max="5912" style="1" width="10.85546875"/>
    <col min="5913" max="6150" style="1" width="9.140625"/>
    <col customWidth="1" min="6151" max="6151" style="1" width="6.5703125"/>
    <col customWidth="1" min="6152" max="6152" style="1" width="60.42578125"/>
    <col customWidth="1" min="6153" max="6153" style="1" width="8.5703125"/>
    <col customWidth="1" min="6154" max="6154" style="1" width="8.7109375"/>
    <col customWidth="1" min="6155" max="6155" style="1" width="16.7109375"/>
    <col customWidth="1" min="6156" max="6156" style="1" width="17.28515625"/>
    <col customWidth="1" min="6157" max="6157" style="1" width="17.42578125"/>
    <col customWidth="1" min="6158" max="6158" style="1" width="22.7109375"/>
    <col customWidth="1" min="6159" max="6159" style="1" width="19.5703125"/>
    <col customWidth="1" min="6160" max="6160" style="1" width="25"/>
    <col customWidth="1" min="6161" max="6161" style="1" width="32.7109375"/>
    <col customWidth="1" min="6162" max="6162" style="1" width="15.85546875"/>
    <col customWidth="1" min="6163" max="6163" style="1" width="22"/>
    <col customWidth="1" min="6164" max="6164" style="1" width="20"/>
    <col min="6165" max="6166" style="1" width="9.140625"/>
    <col customWidth="1" min="6167" max="6168" style="1" width="10.85546875"/>
    <col min="6169" max="6406" style="1" width="9.140625"/>
    <col customWidth="1" min="6407" max="6407" style="1" width="6.5703125"/>
    <col customWidth="1" min="6408" max="6408" style="1" width="60.42578125"/>
    <col customWidth="1" min="6409" max="6409" style="1" width="8.5703125"/>
    <col customWidth="1" min="6410" max="6410" style="1" width="8.7109375"/>
    <col customWidth="1" min="6411" max="6411" style="1" width="16.7109375"/>
    <col customWidth="1" min="6412" max="6412" style="1" width="17.28515625"/>
    <col customWidth="1" min="6413" max="6413" style="1" width="17.42578125"/>
    <col customWidth="1" min="6414" max="6414" style="1" width="22.7109375"/>
    <col customWidth="1" min="6415" max="6415" style="1" width="19.5703125"/>
    <col customWidth="1" min="6416" max="6416" style="1" width="25"/>
    <col customWidth="1" min="6417" max="6417" style="1" width="32.7109375"/>
    <col customWidth="1" min="6418" max="6418" style="1" width="15.85546875"/>
    <col customWidth="1" min="6419" max="6419" style="1" width="22"/>
    <col customWidth="1" min="6420" max="6420" style="1" width="20"/>
    <col min="6421" max="6422" style="1" width="9.140625"/>
    <col customWidth="1" min="6423" max="6424" style="1" width="10.85546875"/>
    <col min="6425" max="6662" style="1" width="9.140625"/>
    <col customWidth="1" min="6663" max="6663" style="1" width="6.5703125"/>
    <col customWidth="1" min="6664" max="6664" style="1" width="60.42578125"/>
    <col customWidth="1" min="6665" max="6665" style="1" width="8.5703125"/>
    <col customWidth="1" min="6666" max="6666" style="1" width="8.7109375"/>
    <col customWidth="1" min="6667" max="6667" style="1" width="16.7109375"/>
    <col customWidth="1" min="6668" max="6668" style="1" width="17.28515625"/>
    <col customWidth="1" min="6669" max="6669" style="1" width="17.42578125"/>
    <col customWidth="1" min="6670" max="6670" style="1" width="22.7109375"/>
    <col customWidth="1" min="6671" max="6671" style="1" width="19.5703125"/>
    <col customWidth="1" min="6672" max="6672" style="1" width="25"/>
    <col customWidth="1" min="6673" max="6673" style="1" width="32.7109375"/>
    <col customWidth="1" min="6674" max="6674" style="1" width="15.85546875"/>
    <col customWidth="1" min="6675" max="6675" style="1" width="22"/>
    <col customWidth="1" min="6676" max="6676" style="1" width="20"/>
    <col min="6677" max="6678" style="1" width="9.140625"/>
    <col customWidth="1" min="6679" max="6680" style="1" width="10.85546875"/>
    <col min="6681" max="6918" style="1" width="9.140625"/>
    <col customWidth="1" min="6919" max="6919" style="1" width="6.5703125"/>
    <col customWidth="1" min="6920" max="6920" style="1" width="60.42578125"/>
    <col customWidth="1" min="6921" max="6921" style="1" width="8.5703125"/>
    <col customWidth="1" min="6922" max="6922" style="1" width="8.7109375"/>
    <col customWidth="1" min="6923" max="6923" style="1" width="16.7109375"/>
    <col customWidth="1" min="6924" max="6924" style="1" width="17.28515625"/>
    <col customWidth="1" min="6925" max="6925" style="1" width="17.42578125"/>
    <col customWidth="1" min="6926" max="6926" style="1" width="22.7109375"/>
    <col customWidth="1" min="6927" max="6927" style="1" width="19.5703125"/>
    <col customWidth="1" min="6928" max="6928" style="1" width="25"/>
    <col customWidth="1" min="6929" max="6929" style="1" width="32.7109375"/>
    <col customWidth="1" min="6930" max="6930" style="1" width="15.85546875"/>
    <col customWidth="1" min="6931" max="6931" style="1" width="22"/>
    <col customWidth="1" min="6932" max="6932" style="1" width="20"/>
    <col min="6933" max="6934" style="1" width="9.140625"/>
    <col customWidth="1" min="6935" max="6936" style="1" width="10.85546875"/>
    <col min="6937" max="7174" style="1" width="9.140625"/>
    <col customWidth="1" min="7175" max="7175" style="1" width="6.5703125"/>
    <col customWidth="1" min="7176" max="7176" style="1" width="60.42578125"/>
    <col customWidth="1" min="7177" max="7177" style="1" width="8.5703125"/>
    <col customWidth="1" min="7178" max="7178" style="1" width="8.7109375"/>
    <col customWidth="1" min="7179" max="7179" style="1" width="16.7109375"/>
    <col customWidth="1" min="7180" max="7180" style="1" width="17.28515625"/>
    <col customWidth="1" min="7181" max="7181" style="1" width="17.42578125"/>
    <col customWidth="1" min="7182" max="7182" style="1" width="22.7109375"/>
    <col customWidth="1" min="7183" max="7183" style="1" width="19.5703125"/>
    <col customWidth="1" min="7184" max="7184" style="1" width="25"/>
    <col customWidth="1" min="7185" max="7185" style="1" width="32.7109375"/>
    <col customWidth="1" min="7186" max="7186" style="1" width="15.85546875"/>
    <col customWidth="1" min="7187" max="7187" style="1" width="22"/>
    <col customWidth="1" min="7188" max="7188" style="1" width="20"/>
    <col min="7189" max="7190" style="1" width="9.140625"/>
    <col customWidth="1" min="7191" max="7192" style="1" width="10.85546875"/>
    <col min="7193" max="7430" style="1" width="9.140625"/>
    <col customWidth="1" min="7431" max="7431" style="1" width="6.5703125"/>
    <col customWidth="1" min="7432" max="7432" style="1" width="60.42578125"/>
    <col customWidth="1" min="7433" max="7433" style="1" width="8.5703125"/>
    <col customWidth="1" min="7434" max="7434" style="1" width="8.7109375"/>
    <col customWidth="1" min="7435" max="7435" style="1" width="16.7109375"/>
    <col customWidth="1" min="7436" max="7436" style="1" width="17.28515625"/>
    <col customWidth="1" min="7437" max="7437" style="1" width="17.42578125"/>
    <col customWidth="1" min="7438" max="7438" style="1" width="22.7109375"/>
    <col customWidth="1" min="7439" max="7439" style="1" width="19.5703125"/>
    <col customWidth="1" min="7440" max="7440" style="1" width="25"/>
    <col customWidth="1" min="7441" max="7441" style="1" width="32.7109375"/>
    <col customWidth="1" min="7442" max="7442" style="1" width="15.85546875"/>
    <col customWidth="1" min="7443" max="7443" style="1" width="22"/>
    <col customWidth="1" min="7444" max="7444" style="1" width="20"/>
    <col min="7445" max="7446" style="1" width="9.140625"/>
    <col customWidth="1" min="7447" max="7448" style="1" width="10.85546875"/>
    <col min="7449" max="7686" style="1" width="9.140625"/>
    <col customWidth="1" min="7687" max="7687" style="1" width="6.5703125"/>
    <col customWidth="1" min="7688" max="7688" style="1" width="60.42578125"/>
    <col customWidth="1" min="7689" max="7689" style="1" width="8.5703125"/>
    <col customWidth="1" min="7690" max="7690" style="1" width="8.7109375"/>
    <col customWidth="1" min="7691" max="7691" style="1" width="16.7109375"/>
    <col customWidth="1" min="7692" max="7692" style="1" width="17.28515625"/>
    <col customWidth="1" min="7693" max="7693" style="1" width="17.42578125"/>
    <col customWidth="1" min="7694" max="7694" style="1" width="22.7109375"/>
    <col customWidth="1" min="7695" max="7695" style="1" width="19.5703125"/>
    <col customWidth="1" min="7696" max="7696" style="1" width="25"/>
    <col customWidth="1" min="7697" max="7697" style="1" width="32.7109375"/>
    <col customWidth="1" min="7698" max="7698" style="1" width="15.85546875"/>
    <col customWidth="1" min="7699" max="7699" style="1" width="22"/>
    <col customWidth="1" min="7700" max="7700" style="1" width="20"/>
    <col min="7701" max="7702" style="1" width="9.140625"/>
    <col customWidth="1" min="7703" max="7704" style="1" width="10.85546875"/>
    <col min="7705" max="7942" style="1" width="9.140625"/>
    <col customWidth="1" min="7943" max="7943" style="1" width="6.5703125"/>
    <col customWidth="1" min="7944" max="7944" style="1" width="60.42578125"/>
    <col customWidth="1" min="7945" max="7945" style="1" width="8.5703125"/>
    <col customWidth="1" min="7946" max="7946" style="1" width="8.7109375"/>
    <col customWidth="1" min="7947" max="7947" style="1" width="16.7109375"/>
    <col customWidth="1" min="7948" max="7948" style="1" width="17.28515625"/>
    <col customWidth="1" min="7949" max="7949" style="1" width="17.42578125"/>
    <col customWidth="1" min="7950" max="7950" style="1" width="22.7109375"/>
    <col customWidth="1" min="7951" max="7951" style="1" width="19.5703125"/>
    <col customWidth="1" min="7952" max="7952" style="1" width="25"/>
    <col customWidth="1" min="7953" max="7953" style="1" width="32.7109375"/>
    <col customWidth="1" min="7954" max="7954" style="1" width="15.85546875"/>
    <col customWidth="1" min="7955" max="7955" style="1" width="22"/>
    <col customWidth="1" min="7956" max="7956" style="1" width="20"/>
    <col min="7957" max="7958" style="1" width="9.140625"/>
    <col customWidth="1" min="7959" max="7960" style="1" width="10.85546875"/>
    <col min="7961" max="8198" style="1" width="9.140625"/>
    <col customWidth="1" min="8199" max="8199" style="1" width="6.5703125"/>
    <col customWidth="1" min="8200" max="8200" style="1" width="60.42578125"/>
    <col customWidth="1" min="8201" max="8201" style="1" width="8.5703125"/>
    <col customWidth="1" min="8202" max="8202" style="1" width="8.7109375"/>
    <col customWidth="1" min="8203" max="8203" style="1" width="16.7109375"/>
    <col customWidth="1" min="8204" max="8204" style="1" width="17.28515625"/>
    <col customWidth="1" min="8205" max="8205" style="1" width="17.42578125"/>
    <col customWidth="1" min="8206" max="8206" style="1" width="22.7109375"/>
    <col customWidth="1" min="8207" max="8207" style="1" width="19.5703125"/>
    <col customWidth="1" min="8208" max="8208" style="1" width="25"/>
    <col customWidth="1" min="8209" max="8209" style="1" width="32.7109375"/>
    <col customWidth="1" min="8210" max="8210" style="1" width="15.85546875"/>
    <col customWidth="1" min="8211" max="8211" style="1" width="22"/>
    <col customWidth="1" min="8212" max="8212" style="1" width="20"/>
    <col min="8213" max="8214" style="1" width="9.140625"/>
    <col customWidth="1" min="8215" max="8216" style="1" width="10.85546875"/>
    <col min="8217" max="8454" style="1" width="9.140625"/>
    <col customWidth="1" min="8455" max="8455" style="1" width="6.5703125"/>
    <col customWidth="1" min="8456" max="8456" style="1" width="60.42578125"/>
    <col customWidth="1" min="8457" max="8457" style="1" width="8.5703125"/>
    <col customWidth="1" min="8458" max="8458" style="1" width="8.7109375"/>
    <col customWidth="1" min="8459" max="8459" style="1" width="16.7109375"/>
    <col customWidth="1" min="8460" max="8460" style="1" width="17.28515625"/>
    <col customWidth="1" min="8461" max="8461" style="1" width="17.42578125"/>
    <col customWidth="1" min="8462" max="8462" style="1" width="22.7109375"/>
    <col customWidth="1" min="8463" max="8463" style="1" width="19.5703125"/>
    <col customWidth="1" min="8464" max="8464" style="1" width="25"/>
    <col customWidth="1" min="8465" max="8465" style="1" width="32.7109375"/>
    <col customWidth="1" min="8466" max="8466" style="1" width="15.85546875"/>
    <col customWidth="1" min="8467" max="8467" style="1" width="22"/>
    <col customWidth="1" min="8468" max="8468" style="1" width="20"/>
    <col min="8469" max="8470" style="1" width="9.140625"/>
    <col customWidth="1" min="8471" max="8472" style="1" width="10.85546875"/>
    <col min="8473" max="8710" style="1" width="9.140625"/>
    <col customWidth="1" min="8711" max="8711" style="1" width="6.5703125"/>
    <col customWidth="1" min="8712" max="8712" style="1" width="60.42578125"/>
    <col customWidth="1" min="8713" max="8713" style="1" width="8.5703125"/>
    <col customWidth="1" min="8714" max="8714" style="1" width="8.7109375"/>
    <col customWidth="1" min="8715" max="8715" style="1" width="16.7109375"/>
    <col customWidth="1" min="8716" max="8716" style="1" width="17.28515625"/>
    <col customWidth="1" min="8717" max="8717" style="1" width="17.42578125"/>
    <col customWidth="1" min="8718" max="8718" style="1" width="22.7109375"/>
    <col customWidth="1" min="8719" max="8719" style="1" width="19.5703125"/>
    <col customWidth="1" min="8720" max="8720" style="1" width="25"/>
    <col customWidth="1" min="8721" max="8721" style="1" width="32.7109375"/>
    <col customWidth="1" min="8722" max="8722" style="1" width="15.85546875"/>
    <col customWidth="1" min="8723" max="8723" style="1" width="22"/>
    <col customWidth="1" min="8724" max="8724" style="1" width="20"/>
    <col min="8725" max="8726" style="1" width="9.140625"/>
    <col customWidth="1" min="8727" max="8728" style="1" width="10.85546875"/>
    <col min="8729" max="8966" style="1" width="9.140625"/>
    <col customWidth="1" min="8967" max="8967" style="1" width="6.5703125"/>
    <col customWidth="1" min="8968" max="8968" style="1" width="60.42578125"/>
    <col customWidth="1" min="8969" max="8969" style="1" width="8.5703125"/>
    <col customWidth="1" min="8970" max="8970" style="1" width="8.7109375"/>
    <col customWidth="1" min="8971" max="8971" style="1" width="16.7109375"/>
    <col customWidth="1" min="8972" max="8972" style="1" width="17.28515625"/>
    <col customWidth="1" min="8973" max="8973" style="1" width="17.42578125"/>
    <col customWidth="1" min="8974" max="8974" style="1" width="22.7109375"/>
    <col customWidth="1" min="8975" max="8975" style="1" width="19.5703125"/>
    <col customWidth="1" min="8976" max="8976" style="1" width="25"/>
    <col customWidth="1" min="8977" max="8977" style="1" width="32.7109375"/>
    <col customWidth="1" min="8978" max="8978" style="1" width="15.85546875"/>
    <col customWidth="1" min="8979" max="8979" style="1" width="22"/>
    <col customWidth="1" min="8980" max="8980" style="1" width="20"/>
    <col min="8981" max="8982" style="1" width="9.140625"/>
    <col customWidth="1" min="8983" max="8984" style="1" width="10.85546875"/>
    <col min="8985" max="9222" style="1" width="9.140625"/>
    <col customWidth="1" min="9223" max="9223" style="1" width="6.5703125"/>
    <col customWidth="1" min="9224" max="9224" style="1" width="60.42578125"/>
    <col customWidth="1" min="9225" max="9225" style="1" width="8.5703125"/>
    <col customWidth="1" min="9226" max="9226" style="1" width="8.7109375"/>
    <col customWidth="1" min="9227" max="9227" style="1" width="16.7109375"/>
    <col customWidth="1" min="9228" max="9228" style="1" width="17.28515625"/>
    <col customWidth="1" min="9229" max="9229" style="1" width="17.42578125"/>
    <col customWidth="1" min="9230" max="9230" style="1" width="22.7109375"/>
    <col customWidth="1" min="9231" max="9231" style="1" width="19.5703125"/>
    <col customWidth="1" min="9232" max="9232" style="1" width="25"/>
    <col customWidth="1" min="9233" max="9233" style="1" width="32.7109375"/>
    <col customWidth="1" min="9234" max="9234" style="1" width="15.85546875"/>
    <col customWidth="1" min="9235" max="9235" style="1" width="22"/>
    <col customWidth="1" min="9236" max="9236" style="1" width="20"/>
    <col min="9237" max="9238" style="1" width="9.140625"/>
    <col customWidth="1" min="9239" max="9240" style="1" width="10.85546875"/>
    <col min="9241" max="9478" style="1" width="9.140625"/>
    <col customWidth="1" min="9479" max="9479" style="1" width="6.5703125"/>
    <col customWidth="1" min="9480" max="9480" style="1" width="60.42578125"/>
    <col customWidth="1" min="9481" max="9481" style="1" width="8.5703125"/>
    <col customWidth="1" min="9482" max="9482" style="1" width="8.7109375"/>
    <col customWidth="1" min="9483" max="9483" style="1" width="16.7109375"/>
    <col customWidth="1" min="9484" max="9484" style="1" width="17.28515625"/>
    <col customWidth="1" min="9485" max="9485" style="1" width="17.42578125"/>
    <col customWidth="1" min="9486" max="9486" style="1" width="22.7109375"/>
    <col customWidth="1" min="9487" max="9487" style="1" width="19.5703125"/>
    <col customWidth="1" min="9488" max="9488" style="1" width="25"/>
    <col customWidth="1" min="9489" max="9489" style="1" width="32.7109375"/>
    <col customWidth="1" min="9490" max="9490" style="1" width="15.85546875"/>
    <col customWidth="1" min="9491" max="9491" style="1" width="22"/>
    <col customWidth="1" min="9492" max="9492" style="1" width="20"/>
    <col min="9493" max="9494" style="1" width="9.140625"/>
    <col customWidth="1" min="9495" max="9496" style="1" width="10.85546875"/>
    <col min="9497" max="9734" style="1" width="9.140625"/>
    <col customWidth="1" min="9735" max="9735" style="1" width="6.5703125"/>
    <col customWidth="1" min="9736" max="9736" style="1" width="60.42578125"/>
    <col customWidth="1" min="9737" max="9737" style="1" width="8.5703125"/>
    <col customWidth="1" min="9738" max="9738" style="1" width="8.7109375"/>
    <col customWidth="1" min="9739" max="9739" style="1" width="16.7109375"/>
    <col customWidth="1" min="9740" max="9740" style="1" width="17.28515625"/>
    <col customWidth="1" min="9741" max="9741" style="1" width="17.42578125"/>
    <col customWidth="1" min="9742" max="9742" style="1" width="22.7109375"/>
    <col customWidth="1" min="9743" max="9743" style="1" width="19.5703125"/>
    <col customWidth="1" min="9744" max="9744" style="1" width="25"/>
    <col customWidth="1" min="9745" max="9745" style="1" width="32.7109375"/>
    <col customWidth="1" min="9746" max="9746" style="1" width="15.85546875"/>
    <col customWidth="1" min="9747" max="9747" style="1" width="22"/>
    <col customWidth="1" min="9748" max="9748" style="1" width="20"/>
    <col min="9749" max="9750" style="1" width="9.140625"/>
    <col customWidth="1" min="9751" max="9752" style="1" width="10.85546875"/>
    <col min="9753" max="9990" style="1" width="9.140625"/>
    <col customWidth="1" min="9991" max="9991" style="1" width="6.5703125"/>
    <col customWidth="1" min="9992" max="9992" style="1" width="60.42578125"/>
    <col customWidth="1" min="9993" max="9993" style="1" width="8.5703125"/>
    <col customWidth="1" min="9994" max="9994" style="1" width="8.7109375"/>
    <col customWidth="1" min="9995" max="9995" style="1" width="16.7109375"/>
    <col customWidth="1" min="9996" max="9996" style="1" width="17.28515625"/>
    <col customWidth="1" min="9997" max="9997" style="1" width="17.42578125"/>
    <col customWidth="1" min="9998" max="9998" style="1" width="22.7109375"/>
    <col customWidth="1" min="9999" max="9999" style="1" width="19.5703125"/>
    <col customWidth="1" min="10000" max="10000" style="1" width="25"/>
    <col customWidth="1" min="10001" max="10001" style="1" width="32.7109375"/>
    <col customWidth="1" min="10002" max="10002" style="1" width="15.85546875"/>
    <col customWidth="1" min="10003" max="10003" style="1" width="22"/>
    <col customWidth="1" min="10004" max="10004" style="1" width="20"/>
    <col min="10005" max="10006" style="1" width="9.140625"/>
    <col customWidth="1" min="10007" max="10008" style="1" width="10.85546875"/>
    <col min="10009" max="10246" style="1" width="9.140625"/>
    <col customWidth="1" min="10247" max="10247" style="1" width="6.5703125"/>
    <col customWidth="1" min="10248" max="10248" style="1" width="60.42578125"/>
    <col customWidth="1" min="10249" max="10249" style="1" width="8.5703125"/>
    <col customWidth="1" min="10250" max="10250" style="1" width="8.7109375"/>
    <col customWidth="1" min="10251" max="10251" style="1" width="16.7109375"/>
    <col customWidth="1" min="10252" max="10252" style="1" width="17.28515625"/>
    <col customWidth="1" min="10253" max="10253" style="1" width="17.42578125"/>
    <col customWidth="1" min="10254" max="10254" style="1" width="22.7109375"/>
    <col customWidth="1" min="10255" max="10255" style="1" width="19.5703125"/>
    <col customWidth="1" min="10256" max="10256" style="1" width="25"/>
    <col customWidth="1" min="10257" max="10257" style="1" width="32.7109375"/>
    <col customWidth="1" min="10258" max="10258" style="1" width="15.85546875"/>
    <col customWidth="1" min="10259" max="10259" style="1" width="22"/>
    <col customWidth="1" min="10260" max="10260" style="1" width="20"/>
    <col min="10261" max="10262" style="1" width="9.140625"/>
    <col customWidth="1" min="10263" max="10264" style="1" width="10.85546875"/>
    <col min="10265" max="10502" style="1" width="9.140625"/>
    <col customWidth="1" min="10503" max="10503" style="1" width="6.5703125"/>
    <col customWidth="1" min="10504" max="10504" style="1" width="60.42578125"/>
    <col customWidth="1" min="10505" max="10505" style="1" width="8.5703125"/>
    <col customWidth="1" min="10506" max="10506" style="1" width="8.7109375"/>
    <col customWidth="1" min="10507" max="10507" style="1" width="16.7109375"/>
    <col customWidth="1" min="10508" max="10508" style="1" width="17.28515625"/>
    <col customWidth="1" min="10509" max="10509" style="1" width="17.42578125"/>
    <col customWidth="1" min="10510" max="10510" style="1" width="22.7109375"/>
    <col customWidth="1" min="10511" max="10511" style="1" width="19.5703125"/>
    <col customWidth="1" min="10512" max="10512" style="1" width="25"/>
    <col customWidth="1" min="10513" max="10513" style="1" width="32.7109375"/>
    <col customWidth="1" min="10514" max="10514" style="1" width="15.85546875"/>
    <col customWidth="1" min="10515" max="10515" style="1" width="22"/>
    <col customWidth="1" min="10516" max="10516" style="1" width="20"/>
    <col min="10517" max="10518" style="1" width="9.140625"/>
    <col customWidth="1" min="10519" max="10520" style="1" width="10.85546875"/>
    <col min="10521" max="10758" style="1" width="9.140625"/>
    <col customWidth="1" min="10759" max="10759" style="1" width="6.5703125"/>
    <col customWidth="1" min="10760" max="10760" style="1" width="60.42578125"/>
    <col customWidth="1" min="10761" max="10761" style="1" width="8.5703125"/>
    <col customWidth="1" min="10762" max="10762" style="1" width="8.7109375"/>
    <col customWidth="1" min="10763" max="10763" style="1" width="16.7109375"/>
    <col customWidth="1" min="10764" max="10764" style="1" width="17.28515625"/>
    <col customWidth="1" min="10765" max="10765" style="1" width="17.42578125"/>
    <col customWidth="1" min="10766" max="10766" style="1" width="22.7109375"/>
    <col customWidth="1" min="10767" max="10767" style="1" width="19.5703125"/>
    <col customWidth="1" min="10768" max="10768" style="1" width="25"/>
    <col customWidth="1" min="10769" max="10769" style="1" width="32.7109375"/>
    <col customWidth="1" min="10770" max="10770" style="1" width="15.85546875"/>
    <col customWidth="1" min="10771" max="10771" style="1" width="22"/>
    <col customWidth="1" min="10772" max="10772" style="1" width="20"/>
    <col min="10773" max="10774" style="1" width="9.140625"/>
    <col customWidth="1" min="10775" max="10776" style="1" width="10.85546875"/>
    <col min="10777" max="11014" style="1" width="9.140625"/>
    <col customWidth="1" min="11015" max="11015" style="1" width="6.5703125"/>
    <col customWidth="1" min="11016" max="11016" style="1" width="60.42578125"/>
    <col customWidth="1" min="11017" max="11017" style="1" width="8.5703125"/>
    <col customWidth="1" min="11018" max="11018" style="1" width="8.7109375"/>
    <col customWidth="1" min="11019" max="11019" style="1" width="16.7109375"/>
    <col customWidth="1" min="11020" max="11020" style="1" width="17.28515625"/>
    <col customWidth="1" min="11021" max="11021" style="1" width="17.42578125"/>
    <col customWidth="1" min="11022" max="11022" style="1" width="22.7109375"/>
    <col customWidth="1" min="11023" max="11023" style="1" width="19.5703125"/>
    <col customWidth="1" min="11024" max="11024" style="1" width="25"/>
    <col customWidth="1" min="11025" max="11025" style="1" width="32.7109375"/>
    <col customWidth="1" min="11026" max="11026" style="1" width="15.85546875"/>
    <col customWidth="1" min="11027" max="11027" style="1" width="22"/>
    <col customWidth="1" min="11028" max="11028" style="1" width="20"/>
    <col min="11029" max="11030" style="1" width="9.140625"/>
    <col customWidth="1" min="11031" max="11032" style="1" width="10.85546875"/>
    <col min="11033" max="11270" style="1" width="9.140625"/>
    <col customWidth="1" min="11271" max="11271" style="1" width="6.5703125"/>
    <col customWidth="1" min="11272" max="11272" style="1" width="60.42578125"/>
    <col customWidth="1" min="11273" max="11273" style="1" width="8.5703125"/>
    <col customWidth="1" min="11274" max="11274" style="1" width="8.7109375"/>
    <col customWidth="1" min="11275" max="11275" style="1" width="16.7109375"/>
    <col customWidth="1" min="11276" max="11276" style="1" width="17.28515625"/>
    <col customWidth="1" min="11277" max="11277" style="1" width="17.42578125"/>
    <col customWidth="1" min="11278" max="11278" style="1" width="22.7109375"/>
    <col customWidth="1" min="11279" max="11279" style="1" width="19.5703125"/>
    <col customWidth="1" min="11280" max="11280" style="1" width="25"/>
    <col customWidth="1" min="11281" max="11281" style="1" width="32.7109375"/>
    <col customWidth="1" min="11282" max="11282" style="1" width="15.85546875"/>
    <col customWidth="1" min="11283" max="11283" style="1" width="22"/>
    <col customWidth="1" min="11284" max="11284" style="1" width="20"/>
    <col min="11285" max="11286" style="1" width="9.140625"/>
    <col customWidth="1" min="11287" max="11288" style="1" width="10.85546875"/>
    <col min="11289" max="11526" style="1" width="9.140625"/>
    <col customWidth="1" min="11527" max="11527" style="1" width="6.5703125"/>
    <col customWidth="1" min="11528" max="11528" style="1" width="60.42578125"/>
    <col customWidth="1" min="11529" max="11529" style="1" width="8.5703125"/>
    <col customWidth="1" min="11530" max="11530" style="1" width="8.7109375"/>
    <col customWidth="1" min="11531" max="11531" style="1" width="16.7109375"/>
    <col customWidth="1" min="11532" max="11532" style="1" width="17.28515625"/>
    <col customWidth="1" min="11533" max="11533" style="1" width="17.42578125"/>
    <col customWidth="1" min="11534" max="11534" style="1" width="22.7109375"/>
    <col customWidth="1" min="11535" max="11535" style="1" width="19.5703125"/>
    <col customWidth="1" min="11536" max="11536" style="1" width="25"/>
    <col customWidth="1" min="11537" max="11537" style="1" width="32.7109375"/>
    <col customWidth="1" min="11538" max="11538" style="1" width="15.85546875"/>
    <col customWidth="1" min="11539" max="11539" style="1" width="22"/>
    <col customWidth="1" min="11540" max="11540" style="1" width="20"/>
    <col min="11541" max="11542" style="1" width="9.140625"/>
    <col customWidth="1" min="11543" max="11544" style="1" width="10.85546875"/>
    <col min="11545" max="11782" style="1" width="9.140625"/>
    <col customWidth="1" min="11783" max="11783" style="1" width="6.5703125"/>
    <col customWidth="1" min="11784" max="11784" style="1" width="60.42578125"/>
    <col customWidth="1" min="11785" max="11785" style="1" width="8.5703125"/>
    <col customWidth="1" min="11786" max="11786" style="1" width="8.7109375"/>
    <col customWidth="1" min="11787" max="11787" style="1" width="16.7109375"/>
    <col customWidth="1" min="11788" max="11788" style="1" width="17.28515625"/>
    <col customWidth="1" min="11789" max="11789" style="1" width="17.42578125"/>
    <col customWidth="1" min="11790" max="11790" style="1" width="22.7109375"/>
    <col customWidth="1" min="11791" max="11791" style="1" width="19.5703125"/>
    <col customWidth="1" min="11792" max="11792" style="1" width="25"/>
    <col customWidth="1" min="11793" max="11793" style="1" width="32.7109375"/>
    <col customWidth="1" min="11794" max="11794" style="1" width="15.85546875"/>
    <col customWidth="1" min="11795" max="11795" style="1" width="22"/>
    <col customWidth="1" min="11796" max="11796" style="1" width="20"/>
    <col min="11797" max="11798" style="1" width="9.140625"/>
    <col customWidth="1" min="11799" max="11800" style="1" width="10.85546875"/>
    <col min="11801" max="12038" style="1" width="9.140625"/>
    <col customWidth="1" min="12039" max="12039" style="1" width="6.5703125"/>
    <col customWidth="1" min="12040" max="12040" style="1" width="60.42578125"/>
    <col customWidth="1" min="12041" max="12041" style="1" width="8.5703125"/>
    <col customWidth="1" min="12042" max="12042" style="1" width="8.7109375"/>
    <col customWidth="1" min="12043" max="12043" style="1" width="16.7109375"/>
    <col customWidth="1" min="12044" max="12044" style="1" width="17.28515625"/>
    <col customWidth="1" min="12045" max="12045" style="1" width="17.42578125"/>
    <col customWidth="1" min="12046" max="12046" style="1" width="22.7109375"/>
    <col customWidth="1" min="12047" max="12047" style="1" width="19.5703125"/>
    <col customWidth="1" min="12048" max="12048" style="1" width="25"/>
    <col customWidth="1" min="12049" max="12049" style="1" width="32.7109375"/>
    <col customWidth="1" min="12050" max="12050" style="1" width="15.85546875"/>
    <col customWidth="1" min="12051" max="12051" style="1" width="22"/>
    <col customWidth="1" min="12052" max="12052" style="1" width="20"/>
    <col min="12053" max="12054" style="1" width="9.140625"/>
    <col customWidth="1" min="12055" max="12056" style="1" width="10.85546875"/>
    <col min="12057" max="12294" style="1" width="9.140625"/>
    <col customWidth="1" min="12295" max="12295" style="1" width="6.5703125"/>
    <col customWidth="1" min="12296" max="12296" style="1" width="60.42578125"/>
    <col customWidth="1" min="12297" max="12297" style="1" width="8.5703125"/>
    <col customWidth="1" min="12298" max="12298" style="1" width="8.7109375"/>
    <col customWidth="1" min="12299" max="12299" style="1" width="16.7109375"/>
    <col customWidth="1" min="12300" max="12300" style="1" width="17.28515625"/>
    <col customWidth="1" min="12301" max="12301" style="1" width="17.42578125"/>
    <col customWidth="1" min="12302" max="12302" style="1" width="22.7109375"/>
    <col customWidth="1" min="12303" max="12303" style="1" width="19.5703125"/>
    <col customWidth="1" min="12304" max="12304" style="1" width="25"/>
    <col customWidth="1" min="12305" max="12305" style="1" width="32.7109375"/>
    <col customWidth="1" min="12306" max="12306" style="1" width="15.85546875"/>
    <col customWidth="1" min="12307" max="12307" style="1" width="22"/>
    <col customWidth="1" min="12308" max="12308" style="1" width="20"/>
    <col min="12309" max="12310" style="1" width="9.140625"/>
    <col customWidth="1" min="12311" max="12312" style="1" width="10.85546875"/>
    <col min="12313" max="12550" style="1" width="9.140625"/>
    <col customWidth="1" min="12551" max="12551" style="1" width="6.5703125"/>
    <col customWidth="1" min="12552" max="12552" style="1" width="60.42578125"/>
    <col customWidth="1" min="12553" max="12553" style="1" width="8.5703125"/>
    <col customWidth="1" min="12554" max="12554" style="1" width="8.7109375"/>
    <col customWidth="1" min="12555" max="12555" style="1" width="16.7109375"/>
    <col customWidth="1" min="12556" max="12556" style="1" width="17.28515625"/>
    <col customWidth="1" min="12557" max="12557" style="1" width="17.42578125"/>
    <col customWidth="1" min="12558" max="12558" style="1" width="22.7109375"/>
    <col customWidth="1" min="12559" max="12559" style="1" width="19.5703125"/>
    <col customWidth="1" min="12560" max="12560" style="1" width="25"/>
    <col customWidth="1" min="12561" max="12561" style="1" width="32.7109375"/>
    <col customWidth="1" min="12562" max="12562" style="1" width="15.85546875"/>
    <col customWidth="1" min="12563" max="12563" style="1" width="22"/>
    <col customWidth="1" min="12564" max="12564" style="1" width="20"/>
    <col min="12565" max="12566" style="1" width="9.140625"/>
    <col customWidth="1" min="12567" max="12568" style="1" width="10.85546875"/>
    <col min="12569" max="12806" style="1" width="9.140625"/>
    <col customWidth="1" min="12807" max="12807" style="1" width="6.5703125"/>
    <col customWidth="1" min="12808" max="12808" style="1" width="60.42578125"/>
    <col customWidth="1" min="12809" max="12809" style="1" width="8.5703125"/>
    <col customWidth="1" min="12810" max="12810" style="1" width="8.7109375"/>
    <col customWidth="1" min="12811" max="12811" style="1" width="16.7109375"/>
    <col customWidth="1" min="12812" max="12812" style="1" width="17.28515625"/>
    <col customWidth="1" min="12813" max="12813" style="1" width="17.42578125"/>
    <col customWidth="1" min="12814" max="12814" style="1" width="22.7109375"/>
    <col customWidth="1" min="12815" max="12815" style="1" width="19.5703125"/>
    <col customWidth="1" min="12816" max="12816" style="1" width="25"/>
    <col customWidth="1" min="12817" max="12817" style="1" width="32.7109375"/>
    <col customWidth="1" min="12818" max="12818" style="1" width="15.85546875"/>
    <col customWidth="1" min="12819" max="12819" style="1" width="22"/>
    <col customWidth="1" min="12820" max="12820" style="1" width="20"/>
    <col min="12821" max="12822" style="1" width="9.140625"/>
    <col customWidth="1" min="12823" max="12824" style="1" width="10.85546875"/>
    <col min="12825" max="13062" style="1" width="9.140625"/>
    <col customWidth="1" min="13063" max="13063" style="1" width="6.5703125"/>
    <col customWidth="1" min="13064" max="13064" style="1" width="60.42578125"/>
    <col customWidth="1" min="13065" max="13065" style="1" width="8.5703125"/>
    <col customWidth="1" min="13066" max="13066" style="1" width="8.7109375"/>
    <col customWidth="1" min="13067" max="13067" style="1" width="16.7109375"/>
    <col customWidth="1" min="13068" max="13068" style="1" width="17.28515625"/>
    <col customWidth="1" min="13069" max="13069" style="1" width="17.42578125"/>
    <col customWidth="1" min="13070" max="13070" style="1" width="22.7109375"/>
    <col customWidth="1" min="13071" max="13071" style="1" width="19.5703125"/>
    <col customWidth="1" min="13072" max="13072" style="1" width="25"/>
    <col customWidth="1" min="13073" max="13073" style="1" width="32.7109375"/>
    <col customWidth="1" min="13074" max="13074" style="1" width="15.85546875"/>
    <col customWidth="1" min="13075" max="13075" style="1" width="22"/>
    <col customWidth="1" min="13076" max="13076" style="1" width="20"/>
    <col min="13077" max="13078" style="1" width="9.140625"/>
    <col customWidth="1" min="13079" max="13080" style="1" width="10.85546875"/>
    <col min="13081" max="13318" style="1" width="9.140625"/>
    <col customWidth="1" min="13319" max="13319" style="1" width="6.5703125"/>
    <col customWidth="1" min="13320" max="13320" style="1" width="60.42578125"/>
    <col customWidth="1" min="13321" max="13321" style="1" width="8.5703125"/>
    <col customWidth="1" min="13322" max="13322" style="1" width="8.7109375"/>
    <col customWidth="1" min="13323" max="13323" style="1" width="16.7109375"/>
    <col customWidth="1" min="13324" max="13324" style="1" width="17.28515625"/>
    <col customWidth="1" min="13325" max="13325" style="1" width="17.42578125"/>
    <col customWidth="1" min="13326" max="13326" style="1" width="22.7109375"/>
    <col customWidth="1" min="13327" max="13327" style="1" width="19.5703125"/>
    <col customWidth="1" min="13328" max="13328" style="1" width="25"/>
    <col customWidth="1" min="13329" max="13329" style="1" width="32.7109375"/>
    <col customWidth="1" min="13330" max="13330" style="1" width="15.85546875"/>
    <col customWidth="1" min="13331" max="13331" style="1" width="22"/>
    <col customWidth="1" min="13332" max="13332" style="1" width="20"/>
    <col min="13333" max="13334" style="1" width="9.140625"/>
    <col customWidth="1" min="13335" max="13336" style="1" width="10.85546875"/>
    <col min="13337" max="13574" style="1" width="9.140625"/>
    <col customWidth="1" min="13575" max="13575" style="1" width="6.5703125"/>
    <col customWidth="1" min="13576" max="13576" style="1" width="60.42578125"/>
    <col customWidth="1" min="13577" max="13577" style="1" width="8.5703125"/>
    <col customWidth="1" min="13578" max="13578" style="1" width="8.7109375"/>
    <col customWidth="1" min="13579" max="13579" style="1" width="16.7109375"/>
    <col customWidth="1" min="13580" max="13580" style="1" width="17.28515625"/>
    <col customWidth="1" min="13581" max="13581" style="1" width="17.42578125"/>
    <col customWidth="1" min="13582" max="13582" style="1" width="22.7109375"/>
    <col customWidth="1" min="13583" max="13583" style="1" width="19.5703125"/>
    <col customWidth="1" min="13584" max="13584" style="1" width="25"/>
    <col customWidth="1" min="13585" max="13585" style="1" width="32.7109375"/>
    <col customWidth="1" min="13586" max="13586" style="1" width="15.85546875"/>
    <col customWidth="1" min="13587" max="13587" style="1" width="22"/>
    <col customWidth="1" min="13588" max="13588" style="1" width="20"/>
    <col min="13589" max="13590" style="1" width="9.140625"/>
    <col customWidth="1" min="13591" max="13592" style="1" width="10.85546875"/>
    <col min="13593" max="13830" style="1" width="9.140625"/>
    <col customWidth="1" min="13831" max="13831" style="1" width="6.5703125"/>
    <col customWidth="1" min="13832" max="13832" style="1" width="60.42578125"/>
    <col customWidth="1" min="13833" max="13833" style="1" width="8.5703125"/>
    <col customWidth="1" min="13834" max="13834" style="1" width="8.7109375"/>
    <col customWidth="1" min="13835" max="13835" style="1" width="16.7109375"/>
    <col customWidth="1" min="13836" max="13836" style="1" width="17.28515625"/>
    <col customWidth="1" min="13837" max="13837" style="1" width="17.42578125"/>
    <col customWidth="1" min="13838" max="13838" style="1" width="22.7109375"/>
    <col customWidth="1" min="13839" max="13839" style="1" width="19.5703125"/>
    <col customWidth="1" min="13840" max="13840" style="1" width="25"/>
    <col customWidth="1" min="13841" max="13841" style="1" width="32.7109375"/>
    <col customWidth="1" min="13842" max="13842" style="1" width="15.85546875"/>
    <col customWidth="1" min="13843" max="13843" style="1" width="22"/>
    <col customWidth="1" min="13844" max="13844" style="1" width="20"/>
    <col min="13845" max="13846" style="1" width="9.140625"/>
    <col customWidth="1" min="13847" max="13848" style="1" width="10.85546875"/>
    <col min="13849" max="14086" style="1" width="9.140625"/>
    <col customWidth="1" min="14087" max="14087" style="1" width="6.5703125"/>
    <col customWidth="1" min="14088" max="14088" style="1" width="60.42578125"/>
    <col customWidth="1" min="14089" max="14089" style="1" width="8.5703125"/>
    <col customWidth="1" min="14090" max="14090" style="1" width="8.7109375"/>
    <col customWidth="1" min="14091" max="14091" style="1" width="16.7109375"/>
    <col customWidth="1" min="14092" max="14092" style="1" width="17.28515625"/>
    <col customWidth="1" min="14093" max="14093" style="1" width="17.42578125"/>
    <col customWidth="1" min="14094" max="14094" style="1" width="22.7109375"/>
    <col customWidth="1" min="14095" max="14095" style="1" width="19.5703125"/>
    <col customWidth="1" min="14096" max="14096" style="1" width="25"/>
    <col customWidth="1" min="14097" max="14097" style="1" width="32.7109375"/>
    <col customWidth="1" min="14098" max="14098" style="1" width="15.85546875"/>
    <col customWidth="1" min="14099" max="14099" style="1" width="22"/>
    <col customWidth="1" min="14100" max="14100" style="1" width="20"/>
    <col min="14101" max="14102" style="1" width="9.140625"/>
    <col customWidth="1" min="14103" max="14104" style="1" width="10.85546875"/>
    <col min="14105" max="14342" style="1" width="9.140625"/>
    <col customWidth="1" min="14343" max="14343" style="1" width="6.5703125"/>
    <col customWidth="1" min="14344" max="14344" style="1" width="60.42578125"/>
    <col customWidth="1" min="14345" max="14345" style="1" width="8.5703125"/>
    <col customWidth="1" min="14346" max="14346" style="1" width="8.7109375"/>
    <col customWidth="1" min="14347" max="14347" style="1" width="16.7109375"/>
    <col customWidth="1" min="14348" max="14348" style="1" width="17.28515625"/>
    <col customWidth="1" min="14349" max="14349" style="1" width="17.42578125"/>
    <col customWidth="1" min="14350" max="14350" style="1" width="22.7109375"/>
    <col customWidth="1" min="14351" max="14351" style="1" width="19.5703125"/>
    <col customWidth="1" min="14352" max="14352" style="1" width="25"/>
    <col customWidth="1" min="14353" max="14353" style="1" width="32.7109375"/>
    <col customWidth="1" min="14354" max="14354" style="1" width="15.85546875"/>
    <col customWidth="1" min="14355" max="14355" style="1" width="22"/>
    <col customWidth="1" min="14356" max="14356" style="1" width="20"/>
    <col min="14357" max="14358" style="1" width="9.140625"/>
    <col customWidth="1" min="14359" max="14360" style="1" width="10.85546875"/>
    <col min="14361" max="14598" style="1" width="9.140625"/>
    <col customWidth="1" min="14599" max="14599" style="1" width="6.5703125"/>
    <col customWidth="1" min="14600" max="14600" style="1" width="60.42578125"/>
    <col customWidth="1" min="14601" max="14601" style="1" width="8.5703125"/>
    <col customWidth="1" min="14602" max="14602" style="1" width="8.7109375"/>
    <col customWidth="1" min="14603" max="14603" style="1" width="16.7109375"/>
    <col customWidth="1" min="14604" max="14604" style="1" width="17.28515625"/>
    <col customWidth="1" min="14605" max="14605" style="1" width="17.42578125"/>
    <col customWidth="1" min="14606" max="14606" style="1" width="22.7109375"/>
    <col customWidth="1" min="14607" max="14607" style="1" width="19.5703125"/>
    <col customWidth="1" min="14608" max="14608" style="1" width="25"/>
    <col customWidth="1" min="14609" max="14609" style="1" width="32.7109375"/>
    <col customWidth="1" min="14610" max="14610" style="1" width="15.85546875"/>
    <col customWidth="1" min="14611" max="14611" style="1" width="22"/>
    <col customWidth="1" min="14612" max="14612" style="1" width="20"/>
    <col min="14613" max="14614" style="1" width="9.140625"/>
    <col customWidth="1" min="14615" max="14616" style="1" width="10.85546875"/>
    <col min="14617" max="14854" style="1" width="9.140625"/>
    <col customWidth="1" min="14855" max="14855" style="1" width="6.5703125"/>
    <col customWidth="1" min="14856" max="14856" style="1" width="60.42578125"/>
    <col customWidth="1" min="14857" max="14857" style="1" width="8.5703125"/>
    <col customWidth="1" min="14858" max="14858" style="1" width="8.7109375"/>
    <col customWidth="1" min="14859" max="14859" style="1" width="16.7109375"/>
    <col customWidth="1" min="14860" max="14860" style="1" width="17.28515625"/>
    <col customWidth="1" min="14861" max="14861" style="1" width="17.42578125"/>
    <col customWidth="1" min="14862" max="14862" style="1" width="22.7109375"/>
    <col customWidth="1" min="14863" max="14863" style="1" width="19.5703125"/>
    <col customWidth="1" min="14864" max="14864" style="1" width="25"/>
    <col customWidth="1" min="14865" max="14865" style="1" width="32.7109375"/>
    <col customWidth="1" min="14866" max="14866" style="1" width="15.85546875"/>
    <col customWidth="1" min="14867" max="14867" style="1" width="22"/>
    <col customWidth="1" min="14868" max="14868" style="1" width="20"/>
    <col min="14869" max="14870" style="1" width="9.140625"/>
    <col customWidth="1" min="14871" max="14872" style="1" width="10.85546875"/>
    <col min="14873" max="15110" style="1" width="9.140625"/>
    <col customWidth="1" min="15111" max="15111" style="1" width="6.5703125"/>
    <col customWidth="1" min="15112" max="15112" style="1" width="60.42578125"/>
    <col customWidth="1" min="15113" max="15113" style="1" width="8.5703125"/>
    <col customWidth="1" min="15114" max="15114" style="1" width="8.7109375"/>
    <col customWidth="1" min="15115" max="15115" style="1" width="16.7109375"/>
    <col customWidth="1" min="15116" max="15116" style="1" width="17.28515625"/>
    <col customWidth="1" min="15117" max="15117" style="1" width="17.42578125"/>
    <col customWidth="1" min="15118" max="15118" style="1" width="22.7109375"/>
    <col customWidth="1" min="15119" max="15119" style="1" width="19.5703125"/>
    <col customWidth="1" min="15120" max="15120" style="1" width="25"/>
    <col customWidth="1" min="15121" max="15121" style="1" width="32.7109375"/>
    <col customWidth="1" min="15122" max="15122" style="1" width="15.85546875"/>
    <col customWidth="1" min="15123" max="15123" style="1" width="22"/>
    <col customWidth="1" min="15124" max="15124" style="1" width="20"/>
    <col min="15125" max="15126" style="1" width="9.140625"/>
    <col customWidth="1" min="15127" max="15128" style="1" width="10.85546875"/>
    <col min="15129" max="15366" style="1" width="9.140625"/>
    <col customWidth="1" min="15367" max="15367" style="1" width="6.5703125"/>
    <col customWidth="1" min="15368" max="15368" style="1" width="60.42578125"/>
    <col customWidth="1" min="15369" max="15369" style="1" width="8.5703125"/>
    <col customWidth="1" min="15370" max="15370" style="1" width="8.7109375"/>
    <col customWidth="1" min="15371" max="15371" style="1" width="16.7109375"/>
    <col customWidth="1" min="15372" max="15372" style="1" width="17.28515625"/>
    <col customWidth="1" min="15373" max="15373" style="1" width="17.42578125"/>
    <col customWidth="1" min="15374" max="15374" style="1" width="22.7109375"/>
    <col customWidth="1" min="15375" max="15375" style="1" width="19.5703125"/>
    <col customWidth="1" min="15376" max="15376" style="1" width="25"/>
    <col customWidth="1" min="15377" max="15377" style="1" width="32.7109375"/>
    <col customWidth="1" min="15378" max="15378" style="1" width="15.85546875"/>
    <col customWidth="1" min="15379" max="15379" style="1" width="22"/>
    <col customWidth="1" min="15380" max="15380" style="1" width="20"/>
    <col min="15381" max="15382" style="1" width="9.140625"/>
    <col customWidth="1" min="15383" max="15384" style="1" width="10.85546875"/>
    <col min="15385" max="15622" style="1" width="9.140625"/>
    <col customWidth="1" min="15623" max="15623" style="1" width="6.5703125"/>
    <col customWidth="1" min="15624" max="15624" style="1" width="60.42578125"/>
    <col customWidth="1" min="15625" max="15625" style="1" width="8.5703125"/>
    <col customWidth="1" min="15626" max="15626" style="1" width="8.7109375"/>
    <col customWidth="1" min="15627" max="15627" style="1" width="16.7109375"/>
    <col customWidth="1" min="15628" max="15628" style="1" width="17.28515625"/>
    <col customWidth="1" min="15629" max="15629" style="1" width="17.42578125"/>
    <col customWidth="1" min="15630" max="15630" style="1" width="22.7109375"/>
    <col customWidth="1" min="15631" max="15631" style="1" width="19.5703125"/>
    <col customWidth="1" min="15632" max="15632" style="1" width="25"/>
    <col customWidth="1" min="15633" max="15633" style="1" width="32.7109375"/>
    <col customWidth="1" min="15634" max="15634" style="1" width="15.85546875"/>
    <col customWidth="1" min="15635" max="15635" style="1" width="22"/>
    <col customWidth="1" min="15636" max="15636" style="1" width="20"/>
    <col min="15637" max="15638" style="1" width="9.140625"/>
    <col customWidth="1" min="15639" max="15640" style="1" width="10.85546875"/>
    <col min="15641" max="15878" style="1" width="9.140625"/>
    <col customWidth="1" min="15879" max="15879" style="1" width="6.5703125"/>
    <col customWidth="1" min="15880" max="15880" style="1" width="60.42578125"/>
    <col customWidth="1" min="15881" max="15881" style="1" width="8.5703125"/>
    <col customWidth="1" min="15882" max="15882" style="1" width="8.7109375"/>
    <col customWidth="1" min="15883" max="15883" style="1" width="16.7109375"/>
    <col customWidth="1" min="15884" max="15884" style="1" width="17.28515625"/>
    <col customWidth="1" min="15885" max="15885" style="1" width="17.42578125"/>
    <col customWidth="1" min="15886" max="15886" style="1" width="22.7109375"/>
    <col customWidth="1" min="15887" max="15887" style="1" width="19.5703125"/>
    <col customWidth="1" min="15888" max="15888" style="1" width="25"/>
    <col customWidth="1" min="15889" max="15889" style="1" width="32.7109375"/>
    <col customWidth="1" min="15890" max="15890" style="1" width="15.85546875"/>
    <col customWidth="1" min="15891" max="15891" style="1" width="22"/>
    <col customWidth="1" min="15892" max="15892" style="1" width="20"/>
    <col min="15893" max="15894" style="1" width="9.140625"/>
    <col customWidth="1" min="15895" max="15896" style="1" width="10.85546875"/>
    <col min="15897" max="16134" style="1" width="9.140625"/>
    <col customWidth="1" min="16135" max="16135" style="1" width="6.5703125"/>
    <col customWidth="1" min="16136" max="16136" style="1" width="60.42578125"/>
    <col customWidth="1" min="16137" max="16137" style="1" width="8.5703125"/>
    <col customWidth="1" min="16138" max="16138" style="1" width="8.7109375"/>
    <col customWidth="1" min="16139" max="16139" style="1" width="16.7109375"/>
    <col customWidth="1" min="16140" max="16140" style="1" width="17.28515625"/>
    <col customWidth="1" min="16141" max="16141" style="1" width="17.42578125"/>
    <col customWidth="1" min="16142" max="16142" style="1" width="22.7109375"/>
    <col customWidth="1" min="16143" max="16143" style="1" width="19.5703125"/>
    <col customWidth="1" min="16144" max="16144" style="1" width="25"/>
    <col customWidth="1" min="16145" max="16145" style="1" width="32.7109375"/>
    <col customWidth="1" min="16146" max="16146" style="1" width="15.85546875"/>
    <col customWidth="1" min="16147" max="16147" style="1" width="22"/>
    <col customWidth="1" min="16148" max="16148" style="1" width="20"/>
    <col min="16149" max="16150" style="1" width="9.140625"/>
    <col customWidth="1" min="16151" max="16152" style="1" width="10.85546875"/>
    <col min="16153" max="16384" style="1" width="9.140625"/>
  </cols>
  <sheetData>
    <row r="1" ht="15">
      <c r="A1" s="4"/>
      <c r="B1" s="5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  <c r="P1" s="4"/>
      <c r="Q1" s="4"/>
      <c r="R1" s="4"/>
      <c r="S1" s="4"/>
      <c r="T1" s="4"/>
      <c r="U1" s="4"/>
    </row>
    <row r="2" ht="24" customHeight="1">
      <c r="A2" s="7"/>
      <c r="B2" s="8"/>
      <c r="C2" s="7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10"/>
      <c r="R2" s="11"/>
      <c r="S2" s="11"/>
      <c r="T2" s="11"/>
      <c r="U2" s="7"/>
    </row>
    <row r="3" ht="25.5" customHeight="1">
      <c r="A3" s="11" t="s">
        <v>0</v>
      </c>
      <c r="B3" s="12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7"/>
    </row>
    <row r="4" ht="30" customHeight="1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7"/>
    </row>
    <row r="5" ht="24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7"/>
    </row>
    <row r="6" ht="18" customHeight="1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7"/>
    </row>
    <row r="7" ht="81" customHeight="1">
      <c r="A7" s="17" t="s">
        <v>2</v>
      </c>
      <c r="B7" s="18"/>
      <c r="C7" s="17" t="s">
        <v>3</v>
      </c>
      <c r="D7" s="17" t="s">
        <v>4</v>
      </c>
      <c r="E7" s="17" t="s">
        <v>5</v>
      </c>
      <c r="F7" s="19"/>
      <c r="G7" s="19" t="s">
        <v>6</v>
      </c>
      <c r="H7" s="20"/>
      <c r="I7" s="20"/>
      <c r="J7" s="20"/>
      <c r="K7" s="20"/>
      <c r="L7" s="20"/>
      <c r="M7" s="21"/>
      <c r="N7" s="22" t="s">
        <v>7</v>
      </c>
      <c r="O7" s="23"/>
      <c r="P7" s="24"/>
      <c r="Q7" s="25" t="s">
        <v>8</v>
      </c>
      <c r="R7" s="26"/>
      <c r="S7" s="26"/>
      <c r="T7" s="26"/>
      <c r="U7" s="27"/>
    </row>
    <row r="8" s="28" customFormat="1" ht="313.5" customHeight="1">
      <c r="A8" s="29"/>
      <c r="B8" s="30" t="s">
        <v>9</v>
      </c>
      <c r="C8" s="29"/>
      <c r="D8" s="29"/>
      <c r="E8" s="29"/>
      <c r="F8" s="31"/>
      <c r="G8" s="17" t="s">
        <v>10</v>
      </c>
      <c r="H8" s="17"/>
      <c r="I8" s="17" t="s">
        <v>11</v>
      </c>
      <c r="J8" s="17"/>
      <c r="K8" s="17" t="s">
        <v>12</v>
      </c>
      <c r="L8" s="17" t="s">
        <v>13</v>
      </c>
      <c r="M8" s="17" t="s">
        <v>14</v>
      </c>
      <c r="N8" s="21" t="s">
        <v>15</v>
      </c>
      <c r="O8" s="17" t="s">
        <v>16</v>
      </c>
      <c r="P8" s="17" t="s">
        <v>17</v>
      </c>
      <c r="Q8" s="32" t="s">
        <v>18</v>
      </c>
      <c r="R8" s="17" t="s">
        <v>19</v>
      </c>
      <c r="S8" s="17" t="s">
        <v>20</v>
      </c>
      <c r="T8" s="19" t="s">
        <v>21</v>
      </c>
      <c r="U8" s="17" t="s">
        <v>22</v>
      </c>
    </row>
    <row r="9" s="28" customFormat="1" ht="256.5" customHeight="1">
      <c r="A9" s="33">
        <v>1</v>
      </c>
      <c r="B9" s="34" t="s">
        <v>23</v>
      </c>
      <c r="C9" s="35" t="s">
        <v>24</v>
      </c>
      <c r="D9" s="36" t="s">
        <v>25</v>
      </c>
      <c r="E9" s="37">
        <v>78</v>
      </c>
      <c r="F9" s="37"/>
      <c r="G9" s="38">
        <v>1000</v>
      </c>
      <c r="H9" s="39"/>
      <c r="I9" s="40">
        <v>1340</v>
      </c>
      <c r="J9" s="40"/>
      <c r="K9" s="40">
        <v>1470</v>
      </c>
      <c r="L9" s="40">
        <v>1560</v>
      </c>
      <c r="M9" s="40">
        <v>1730</v>
      </c>
      <c r="N9" s="41">
        <f>AVERAGE(G9:M9)</f>
        <v>1420</v>
      </c>
      <c r="O9" s="41">
        <f>SQRT(((SUM((POWER(M9-N9,2)),(POWER(I9-N9,2)),(POWER(G9-N9,2)))))/2)</f>
        <v>373.4300469967568</v>
      </c>
      <c r="P9" s="36">
        <f>O9/N9*100</f>
        <v>26.297890633574422</v>
      </c>
      <c r="Q9" s="42">
        <f>((E9/5)*(SUM(G9:M9)))</f>
        <v>110760</v>
      </c>
      <c r="R9" s="41">
        <f>Q9/E9</f>
        <v>1420</v>
      </c>
      <c r="S9" s="41">
        <f>ROUND(R9,2)</f>
        <v>1420</v>
      </c>
      <c r="T9" s="43">
        <f>ROUND(S9*E9,2)</f>
        <v>110760</v>
      </c>
      <c r="U9" s="44">
        <f>SUM(T9:T9)</f>
        <v>110760</v>
      </c>
    </row>
    <row r="10" s="28" customFormat="1" ht="115.5" customHeight="1">
      <c r="A10" s="45" t="s">
        <v>26</v>
      </c>
      <c r="B10" s="46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7">
        <f>SUM(T9:T9)</f>
        <v>110760</v>
      </c>
      <c r="O10" s="45" t="s">
        <v>27</v>
      </c>
      <c r="P10" s="48"/>
      <c r="Q10" s="48"/>
      <c r="R10" s="49"/>
      <c r="S10" s="50"/>
      <c r="T10" s="51"/>
      <c r="U10" s="44"/>
    </row>
    <row r="11" s="28" customFormat="1" ht="26.2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1"/>
      <c r="U11" s="44"/>
    </row>
    <row r="12" s="28" customFormat="1" ht="105" customHeight="1">
      <c r="A12" s="52"/>
      <c r="B12" s="53" t="s">
        <v>28</v>
      </c>
      <c r="C12" s="54" t="s">
        <v>29</v>
      </c>
      <c r="D12" s="52"/>
      <c r="E12" s="52"/>
      <c r="F12" s="52"/>
      <c r="G12" s="52" t="s">
        <v>30</v>
      </c>
      <c r="H12" s="52"/>
      <c r="I12" s="55" t="s">
        <v>31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1"/>
      <c r="U12" s="44"/>
    </row>
    <row r="13" s="28" customFormat="1" ht="33.75" customHeight="1">
      <c r="A13" s="52"/>
      <c r="B13" s="52"/>
      <c r="C13" s="54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6"/>
    </row>
    <row r="14" s="28" customFormat="1" ht="117" customHeight="1">
      <c r="A14" s="52"/>
      <c r="B14" s="52"/>
      <c r="C14" s="57" t="s">
        <v>32</v>
      </c>
      <c r="D14" s="52"/>
      <c r="E14" s="52"/>
      <c r="F14" s="52"/>
      <c r="G14" s="52" t="s">
        <v>30</v>
      </c>
      <c r="H14" s="52"/>
      <c r="I14" s="52" t="s">
        <v>33</v>
      </c>
      <c r="J14" s="52"/>
      <c r="K14" s="52" t="s">
        <v>34</v>
      </c>
      <c r="L14" s="52"/>
      <c r="M14" s="52"/>
      <c r="N14" s="58" t="s">
        <v>35</v>
      </c>
      <c r="O14" s="52"/>
      <c r="P14" s="52"/>
      <c r="Q14" s="52"/>
      <c r="R14" s="52"/>
      <c r="S14" s="52"/>
      <c r="T14" s="52"/>
      <c r="U14" s="50"/>
    </row>
    <row r="15" s="28" customFormat="1" ht="14.25" customHeight="1">
      <c r="A15" s="59"/>
      <c r="B15" s="60"/>
      <c r="C15" s="59"/>
      <c r="D15" s="60"/>
      <c r="E15" s="9"/>
      <c r="F15" s="9"/>
      <c r="G15" s="61"/>
      <c r="H15" s="61"/>
      <c r="I15" s="62"/>
      <c r="J15" s="62"/>
      <c r="K15" s="62"/>
      <c r="L15" s="62"/>
      <c r="M15" s="60"/>
      <c r="N15" s="7"/>
      <c r="O15" s="7"/>
      <c r="P15" s="7"/>
      <c r="Q15" s="63"/>
      <c r="R15" s="63"/>
      <c r="S15" s="7"/>
      <c r="T15" s="7"/>
      <c r="U15" s="64"/>
    </row>
    <row r="16" s="28" customFormat="1" ht="14.25" customHeight="1">
      <c r="A16" s="7"/>
      <c r="B16" s="60"/>
      <c r="C16" s="59"/>
      <c r="D16" s="60"/>
      <c r="E16" s="9"/>
      <c r="F16" s="9"/>
      <c r="G16" s="61"/>
      <c r="H16" s="61"/>
      <c r="I16" s="62"/>
      <c r="J16" s="62"/>
      <c r="K16" s="62"/>
      <c r="L16" s="62"/>
      <c r="M16" s="60"/>
      <c r="N16" s="7"/>
      <c r="O16" s="7"/>
      <c r="P16" s="7"/>
      <c r="Q16" s="7"/>
      <c r="R16" s="7"/>
      <c r="S16" s="7"/>
      <c r="T16" s="7"/>
      <c r="U16" s="64"/>
    </row>
    <row r="17" s="65" customFormat="1" ht="69.75" customHeight="1">
      <c r="A17" s="7"/>
      <c r="B17" s="8"/>
      <c r="C17" s="7"/>
      <c r="D17" s="9"/>
      <c r="E17" s="9"/>
      <c r="F17" s="9"/>
      <c r="G17" s="9"/>
      <c r="H17" s="9"/>
      <c r="I17" s="9"/>
      <c r="J17" s="9"/>
      <c r="K17" s="9"/>
      <c r="L17" s="9"/>
      <c r="M17" s="9"/>
      <c r="N17" s="7"/>
      <c r="O17" s="7"/>
      <c r="P17" s="7"/>
      <c r="Q17" s="7"/>
      <c r="R17" s="7"/>
      <c r="S17" s="7"/>
      <c r="T17" s="7"/>
      <c r="U17" s="7"/>
    </row>
    <row r="18" ht="15">
      <c r="A18" s="1"/>
      <c r="B18" s="2"/>
      <c r="C18" s="1"/>
      <c r="D18" s="3"/>
      <c r="E18" s="3"/>
      <c r="F18" s="3"/>
      <c r="G18" s="3"/>
      <c r="H18" s="3"/>
      <c r="I18" s="3"/>
      <c r="J18" s="3"/>
      <c r="K18" s="3"/>
      <c r="L18" s="3"/>
      <c r="M18" s="6"/>
      <c r="N18" s="1"/>
      <c r="O18" s="1"/>
      <c r="P18" s="1"/>
      <c r="Q18" s="1"/>
      <c r="R18" s="1"/>
      <c r="S18" s="1"/>
      <c r="T18" s="1"/>
      <c r="U18" s="1"/>
    </row>
    <row r="19" ht="15">
      <c r="B19" s="2"/>
      <c r="C19" s="1"/>
      <c r="D19" s="3"/>
      <c r="E19" s="3"/>
      <c r="F19" s="3"/>
      <c r="G19" s="3"/>
      <c r="H19" s="3"/>
      <c r="I19" s="3"/>
      <c r="J19" s="3"/>
      <c r="K19" s="3"/>
      <c r="L19" s="3"/>
      <c r="M19" s="6"/>
      <c r="U19" s="1"/>
    </row>
    <row r="20" ht="15">
      <c r="B20" s="2"/>
      <c r="C20" s="1"/>
      <c r="D20" s="3"/>
      <c r="E20" s="3"/>
      <c r="F20" s="3"/>
      <c r="G20" s="3"/>
      <c r="H20" s="3"/>
      <c r="I20" s="3"/>
      <c r="J20" s="3"/>
      <c r="K20" s="3"/>
      <c r="L20" s="3"/>
      <c r="M20" s="6"/>
      <c r="U20" s="1"/>
    </row>
    <row r="21" ht="15">
      <c r="B21" s="2"/>
      <c r="C21" s="1"/>
      <c r="D21" s="3"/>
      <c r="E21" s="3"/>
      <c r="F21" s="3"/>
      <c r="G21" s="3"/>
      <c r="H21" s="3"/>
      <c r="I21" s="3"/>
      <c r="J21" s="3"/>
      <c r="K21" s="3"/>
      <c r="L21" s="3"/>
      <c r="M21" s="6"/>
    </row>
    <row r="22" ht="15">
      <c r="A22" s="1"/>
      <c r="B22" s="2"/>
      <c r="C22" s="1"/>
      <c r="D22" s="3"/>
      <c r="E22" s="3"/>
      <c r="F22" s="3"/>
      <c r="G22" s="3"/>
      <c r="H22" s="3"/>
      <c r="I22" s="3"/>
      <c r="J22" s="3"/>
      <c r="K22" s="3"/>
      <c r="L22" s="3"/>
      <c r="M22" s="6"/>
      <c r="N22" s="1"/>
      <c r="O22" s="1"/>
      <c r="P22" s="1"/>
      <c r="Q22" s="1"/>
      <c r="R22" s="1"/>
      <c r="S22" s="1"/>
      <c r="T22" s="1"/>
      <c r="U22" s="1"/>
    </row>
    <row r="23" ht="15">
      <c r="A23" s="1"/>
      <c r="B23" s="2"/>
      <c r="C23" s="1"/>
      <c r="D23" s="3"/>
      <c r="E23" s="3"/>
      <c r="F23" s="3"/>
      <c r="G23" s="3"/>
      <c r="H23" s="3"/>
      <c r="I23" s="3"/>
      <c r="J23" s="3"/>
      <c r="K23" s="3"/>
      <c r="L23" s="3"/>
      <c r="M23" s="6"/>
      <c r="N23" s="1"/>
      <c r="O23" s="1"/>
      <c r="P23" s="1"/>
      <c r="Q23" s="1"/>
      <c r="R23" s="1"/>
      <c r="S23" s="1"/>
      <c r="T23" s="1"/>
      <c r="U23" s="1"/>
    </row>
    <row r="24" ht="15">
      <c r="A24" s="1"/>
      <c r="B24" s="2"/>
      <c r="C24" s="1"/>
      <c r="D24" s="3"/>
      <c r="E24" s="3"/>
      <c r="F24" s="3"/>
      <c r="G24" s="3"/>
      <c r="H24" s="3"/>
      <c r="I24" s="3"/>
      <c r="J24" s="3"/>
      <c r="K24" s="3"/>
      <c r="L24" s="3"/>
      <c r="M24" s="6"/>
      <c r="N24" s="1"/>
      <c r="O24" s="1"/>
      <c r="P24" s="1"/>
      <c r="Q24" s="1"/>
      <c r="R24" s="1"/>
      <c r="S24" s="1"/>
      <c r="T24" s="1"/>
      <c r="U24" s="1"/>
    </row>
    <row r="25" ht="15">
      <c r="A25" s="1"/>
      <c r="B25" s="2"/>
      <c r="C25" s="1"/>
      <c r="D25" s="3"/>
      <c r="E25" s="3"/>
      <c r="F25" s="3"/>
      <c r="G25" s="3"/>
      <c r="H25" s="3"/>
      <c r="I25" s="3"/>
      <c r="J25" s="3"/>
      <c r="K25" s="3"/>
      <c r="L25" s="3"/>
      <c r="M25" s="6"/>
      <c r="N25" s="1"/>
      <c r="O25" s="1"/>
      <c r="P25" s="1"/>
      <c r="Q25" s="1"/>
      <c r="R25" s="1"/>
      <c r="S25" s="1"/>
      <c r="T25" s="1"/>
      <c r="U25" s="1"/>
    </row>
    <row r="26" ht="15">
      <c r="B26" s="2"/>
      <c r="E26" s="3"/>
      <c r="F26" s="3"/>
      <c r="G26" s="3"/>
      <c r="H26" s="3"/>
      <c r="I26" s="3"/>
      <c r="J26" s="3"/>
      <c r="K26" s="3"/>
      <c r="L26" s="3"/>
      <c r="M26" s="6"/>
    </row>
    <row r="27" ht="15">
      <c r="B27" s="2"/>
      <c r="E27" s="3"/>
      <c r="F27" s="3"/>
      <c r="G27" s="3"/>
      <c r="H27" s="3"/>
      <c r="I27" s="3"/>
      <c r="J27" s="3"/>
      <c r="K27" s="3"/>
      <c r="L27" s="3"/>
      <c r="M27" s="6"/>
    </row>
    <row r="28" ht="15">
      <c r="B28" s="2"/>
      <c r="E28" s="3"/>
      <c r="F28" s="3"/>
      <c r="G28" s="3"/>
      <c r="H28" s="3"/>
      <c r="I28" s="3"/>
      <c r="J28" s="3"/>
      <c r="K28" s="3"/>
      <c r="L28" s="3"/>
      <c r="M28" s="6"/>
    </row>
    <row r="29" ht="15">
      <c r="A29" s="1"/>
      <c r="B29" s="2"/>
      <c r="C29" s="1"/>
      <c r="D29" s="3"/>
      <c r="E29" s="3"/>
      <c r="F29" s="3"/>
      <c r="G29" s="3"/>
      <c r="H29" s="3"/>
      <c r="I29" s="3"/>
      <c r="J29" s="3"/>
      <c r="K29" s="3"/>
      <c r="L29" s="3"/>
      <c r="M29" s="6"/>
      <c r="N29" s="1"/>
      <c r="O29" s="1"/>
      <c r="P29" s="1"/>
      <c r="Q29" s="1"/>
      <c r="R29" s="1"/>
      <c r="S29" s="1"/>
      <c r="T29" s="1"/>
      <c r="U29" s="1"/>
    </row>
    <row r="30" ht="15">
      <c r="A30" s="1"/>
      <c r="B30" s="2"/>
      <c r="C30" s="1"/>
      <c r="D30" s="3"/>
      <c r="E30" s="3"/>
      <c r="F30" s="3"/>
      <c r="G30" s="3"/>
      <c r="H30" s="3"/>
      <c r="I30" s="3"/>
      <c r="J30" s="3"/>
      <c r="K30" s="3"/>
      <c r="L30" s="3"/>
      <c r="M30" s="6"/>
      <c r="N30" s="1"/>
      <c r="O30" s="1"/>
      <c r="P30" s="1"/>
      <c r="Q30" s="1"/>
      <c r="R30" s="1"/>
      <c r="S30" s="1"/>
      <c r="T30" s="1"/>
      <c r="U30" s="1"/>
    </row>
    <row r="31" ht="15">
      <c r="A31" s="1"/>
      <c r="B31" s="2"/>
      <c r="C31" s="1"/>
      <c r="D31" s="3"/>
      <c r="E31" s="3"/>
      <c r="F31" s="3"/>
      <c r="G31" s="3"/>
      <c r="H31" s="3"/>
      <c r="I31" s="3"/>
      <c r="J31" s="3"/>
      <c r="K31" s="3"/>
      <c r="L31" s="3"/>
      <c r="M31" s="6"/>
      <c r="N31" s="4"/>
      <c r="O31" s="4"/>
      <c r="P31" s="1"/>
      <c r="Q31" s="1"/>
      <c r="R31" s="1"/>
      <c r="S31" s="1"/>
      <c r="T31" s="1"/>
      <c r="U31" s="1"/>
    </row>
    <row r="32" ht="15">
      <c r="M32" s="6"/>
    </row>
    <row r="33" ht="15">
      <c r="M33" s="6"/>
    </row>
    <row r="34" ht="15">
      <c r="M34" s="6"/>
    </row>
    <row r="35" ht="15">
      <c r="M35" s="6"/>
    </row>
    <row r="36" ht="15">
      <c r="M36" s="6"/>
    </row>
    <row r="37" ht="15">
      <c r="M37" s="6"/>
    </row>
    <row r="38" ht="15">
      <c r="M38" s="6"/>
    </row>
    <row r="39" ht="15">
      <c r="M39" s="6"/>
    </row>
    <row r="40" ht="15">
      <c r="M40" s="6"/>
    </row>
    <row r="41" ht="15">
      <c r="M41" s="6"/>
    </row>
    <row r="42" ht="15">
      <c r="M42" s="6"/>
    </row>
    <row r="43" ht="15">
      <c r="M43" s="6"/>
    </row>
    <row r="44" ht="15">
      <c r="M44" s="6"/>
    </row>
    <row r="45" ht="15">
      <c r="M45" s="6"/>
    </row>
    <row r="46" ht="15">
      <c r="M46" s="6"/>
    </row>
    <row r="47" ht="15">
      <c r="M47" s="6"/>
    </row>
    <row r="48" ht="15">
      <c r="M48" s="6"/>
    </row>
    <row r="49" ht="15">
      <c r="M49" s="6"/>
    </row>
    <row r="50" ht="15">
      <c r="M50" s="6"/>
    </row>
    <row r="51" ht="15">
      <c r="M51" s="6"/>
    </row>
    <row r="52" ht="15">
      <c r="M52" s="6"/>
    </row>
    <row r="53" ht="15">
      <c r="M53" s="6"/>
    </row>
    <row r="54" ht="15">
      <c r="M54" s="6"/>
    </row>
    <row r="55" ht="15">
      <c r="M55" s="6"/>
    </row>
    <row r="56" ht="15">
      <c r="M56" s="6"/>
    </row>
    <row r="57" ht="15">
      <c r="M57" s="6"/>
    </row>
    <row r="58" ht="15">
      <c r="M58" s="6"/>
    </row>
    <row r="59" ht="15">
      <c r="M59" s="6"/>
    </row>
    <row r="60" ht="15">
      <c r="M60" s="6"/>
    </row>
    <row r="61" ht="15">
      <c r="M61" s="6"/>
    </row>
    <row r="62" ht="15">
      <c r="M62" s="6"/>
    </row>
    <row r="63" ht="15">
      <c r="M63" s="6"/>
    </row>
    <row r="64" ht="15">
      <c r="M64" s="6"/>
    </row>
    <row r="65" ht="15.75">
      <c r="M65" s="6"/>
    </row>
    <row r="66" ht="15.75">
      <c r="M66" s="6"/>
    </row>
    <row r="67" ht="15.75">
      <c r="M67" s="6"/>
    </row>
    <row r="68" ht="15.75">
      <c r="M68" s="6"/>
    </row>
    <row r="69" ht="15.75">
      <c r="M69" s="6"/>
    </row>
    <row r="70" ht="15.75">
      <c r="M70" s="6"/>
    </row>
    <row r="71" ht="15.75">
      <c r="M71" s="6"/>
    </row>
    <row r="72" ht="15.75">
      <c r="M72" s="6"/>
    </row>
    <row r="73" ht="15.75">
      <c r="M73" s="6"/>
    </row>
    <row r="74" ht="15.75">
      <c r="M74" s="6"/>
    </row>
    <row r="75" ht="15.75">
      <c r="M75" s="6"/>
    </row>
    <row r="76" ht="15.75">
      <c r="M76" s="6"/>
    </row>
    <row r="77" ht="15.75">
      <c r="M77" s="6"/>
    </row>
    <row r="78" ht="15.75">
      <c r="M78" s="6"/>
    </row>
    <row r="79" ht="15.75">
      <c r="M79" s="6"/>
    </row>
    <row r="80" ht="15.75">
      <c r="M80" s="6"/>
    </row>
    <row r="81" ht="15.75">
      <c r="M81" s="6"/>
    </row>
    <row r="82" ht="15.75">
      <c r="M82" s="6"/>
    </row>
    <row r="83" ht="15.75">
      <c r="M83" s="6"/>
    </row>
    <row r="84" ht="15.75">
      <c r="M84" s="6"/>
    </row>
    <row r="85" ht="15.75">
      <c r="M85" s="6"/>
    </row>
    <row r="86" ht="15.75">
      <c r="M86" s="6"/>
    </row>
    <row r="87" ht="15.75">
      <c r="M87" s="6"/>
    </row>
    <row r="88" ht="15.75">
      <c r="M88" s="6"/>
    </row>
    <row r="89" ht="15.75">
      <c r="M89" s="6"/>
    </row>
    <row r="90" ht="15.75">
      <c r="M90" s="6"/>
    </row>
    <row r="91" ht="15.75">
      <c r="M91" s="6"/>
    </row>
    <row r="92" ht="15.75">
      <c r="M92" s="6"/>
    </row>
    <row r="93" ht="15.75">
      <c r="M93" s="6"/>
    </row>
    <row r="94" ht="15.75">
      <c r="M94" s="6"/>
    </row>
    <row r="95" ht="15.75">
      <c r="M95" s="6"/>
    </row>
    <row r="96" ht="15.75">
      <c r="M96" s="6"/>
    </row>
    <row r="97" ht="15.75">
      <c r="M97" s="6"/>
    </row>
    <row r="98" ht="15.75">
      <c r="M98" s="6"/>
    </row>
    <row r="99" ht="15.75">
      <c r="M99" s="6"/>
    </row>
    <row r="100" ht="15.75">
      <c r="M100" s="6"/>
    </row>
    <row r="101" ht="15.75">
      <c r="M101" s="6"/>
    </row>
    <row r="102" ht="15.75">
      <c r="M102" s="6"/>
    </row>
    <row r="103" ht="15.75">
      <c r="M103" s="6"/>
    </row>
    <row r="104" ht="15.75">
      <c r="M104" s="6"/>
    </row>
    <row r="105" ht="15.75">
      <c r="M105" s="6"/>
    </row>
    <row r="106" ht="15.75">
      <c r="M106" s="6"/>
    </row>
    <row r="107" ht="15.75">
      <c r="M107" s="6"/>
    </row>
    <row r="108" ht="15.75">
      <c r="M108" s="6"/>
    </row>
    <row r="109" ht="15.75">
      <c r="M109" s="6"/>
    </row>
    <row r="110" ht="15.75">
      <c r="M110" s="6"/>
    </row>
    <row r="111" ht="15.75">
      <c r="M111" s="6"/>
    </row>
    <row r="112" ht="15.75">
      <c r="M112" s="6"/>
    </row>
    <row r="113" ht="15.75">
      <c r="M113" s="6"/>
    </row>
    <row r="114" ht="15.75">
      <c r="M114" s="6"/>
    </row>
    <row r="115" ht="15.75">
      <c r="M115" s="6"/>
    </row>
  </sheetData>
  <autoFilter ref="A7:E9"/>
  <sortState ref="A7:S16">
    <sortCondition ref="A7:A16"/>
  </sortState>
  <mergeCells count="12">
    <mergeCell ref="R2:T2"/>
    <mergeCell ref="A3:T3"/>
    <mergeCell ref="A4:T4"/>
    <mergeCell ref="A7:A8"/>
    <mergeCell ref="C7:C8"/>
    <mergeCell ref="D7:D8"/>
    <mergeCell ref="E7:E8"/>
    <mergeCell ref="G7:M7"/>
    <mergeCell ref="N7:P7"/>
    <mergeCell ref="Q7:T7"/>
    <mergeCell ref="U9:U12"/>
    <mergeCell ref="A10:M10"/>
  </mergeCells>
  <printOptions headings="0" gridLines="0"/>
  <pageMargins left="0.70866141732283472" right="0.31496062992125984" top="0.35433070866141736" bottom="0.35433070866141736" header="0.31496062992125984" footer="0.31496062992125984"/>
  <pageSetup paperSize="9" scale="36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Р7-Офис/2024.4.2.721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Отдел закупок</dc:creator>
  <cp:lastModifiedBy>VNabokova</cp:lastModifiedBy>
  <cp:revision>21</cp:revision>
  <dcterms:created xsi:type="dcterms:W3CDTF">2006-09-16T00:00:00Z</dcterms:created>
  <dcterms:modified xsi:type="dcterms:W3CDTF">2026-07-17T08:18:06Z</dcterms:modified>
</cp:coreProperties>
</file>